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creen Tracker" sheetId="2" state="visible" r:id="rId2"/>
    <sheet xmlns:r="http://schemas.openxmlformats.org/officeDocument/2006/relationships" name="Shared Work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dd mmm yy"/>
    <numFmt numFmtId="166" formatCode="yyyy-mm-dd"/>
  </numFmts>
  <fonts count="14">
    <font>
      <name val="Carlito"/>
      <sz val="11"/>
    </font>
    <font>
      <name val="Arial"/>
      <color rgb="FF172B4D"/>
      <sz val="10"/>
    </font>
    <font>
      <name val="Arial"/>
      <b val="1"/>
      <color rgb="FF172B4D"/>
      <sz val="15"/>
    </font>
    <font>
      <name val="Arial"/>
      <color rgb="FF53657A"/>
      <sz val="10"/>
    </font>
    <font>
      <name val="Arial"/>
      <b val="1"/>
      <color rgb="FF172B4D"/>
      <sz val="12"/>
    </font>
    <font>
      <name val="Arial"/>
      <b val="1"/>
      <color rgb="FF172B4D"/>
      <sz val="11"/>
    </font>
    <font>
      <name val="Arial"/>
      <b val="1"/>
      <color rgb="FFFFFFFF"/>
      <sz val="10"/>
    </font>
    <font>
      <name val="Arial"/>
      <b val="1"/>
      <color rgb="FF172B4D"/>
      <sz val="10"/>
    </font>
    <font>
      <name val="Arial"/>
      <color rgb="FF125EA6"/>
      <sz val="10"/>
    </font>
    <font>
      <b val="1"/>
    </font>
    <font>
      <b val="1"/>
      <color rgb="0007845E"/>
    </font>
    <font>
      <b val="1"/>
      <color rgb="0062718B"/>
    </font>
    <font>
      <b val="1"/>
      <color rgb="008E5C05"/>
    </font>
    <font>
      <b val="1"/>
      <color rgb="00B82E45"/>
    </font>
  </fonts>
  <fills count="9">
    <fill>
      <patternFill/>
    </fill>
    <fill>
      <patternFill patternType="gray125"/>
    </fill>
    <fill>
      <patternFill patternType="solid">
        <fgColor rgb="FF204A79"/>
      </patternFill>
    </fill>
    <fill>
      <patternFill patternType="solid">
        <fgColor rgb="FFF3F6FA"/>
      </patternFill>
    </fill>
    <fill>
      <patternFill patternType="solid">
        <fgColor rgb="FFFFF8E6"/>
      </patternFill>
    </fill>
    <fill>
      <patternFill patternType="solid">
        <fgColor rgb="00E9F7F0"/>
      </patternFill>
    </fill>
    <fill>
      <patternFill patternType="solid">
        <fgColor rgb="00EEF2F7"/>
      </patternFill>
    </fill>
    <fill>
      <patternFill patternType="solid">
        <fgColor rgb="00FFF3D8"/>
      </patternFill>
    </fill>
    <fill>
      <patternFill patternType="solid">
        <fgColor rgb="00FFEBEE"/>
      </patternFill>
    </fill>
  </fills>
  <borders count="3">
    <border/>
    <border>
      <bottom style="thin">
        <color rgb="FFC9D6E5"/>
      </bottom>
    </border>
    <border>
      <top style="thin">
        <color rgb="FFC9D6E5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165" fontId="8" fillId="4" borderId="0" applyAlignment="1" pivotButton="0" quotePrefix="0" xfId="0">
      <alignment vertical="center"/>
    </xf>
    <xf numFmtId="1" fontId="8" fillId="4" borderId="0" applyAlignment="1" pivotButton="0" quotePrefix="0" xfId="0">
      <alignment vertical="center"/>
    </xf>
    <xf numFmtId="1" fontId="1" fillId="3" borderId="0" applyAlignment="1" pivotButton="0" quotePrefix="0" xfId="0">
      <alignment vertical="center"/>
    </xf>
    <xf numFmtId="0" fontId="0" fillId="0" borderId="1" pivotButton="0" quotePrefix="0" xfId="0"/>
    <xf numFmtId="164" fontId="1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/>
    </xf>
    <xf numFmtId="165" fontId="8" fillId="4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1" fontId="8" fillId="4" borderId="0" applyAlignment="1" pivotButton="0" quotePrefix="0" xfId="0">
      <alignment vertical="center"/>
    </xf>
    <xf numFmtId="166" fontId="8" fillId="4" borderId="0" applyAlignment="1" pivotButton="0" quotePrefix="0" xfId="0">
      <alignment vertical="center"/>
    </xf>
    <xf numFmtId="1" fontId="1" fillId="3" borderId="0" applyAlignment="1" pivotButton="0" quotePrefix="0" xfId="0">
      <alignment vertical="center"/>
    </xf>
    <xf numFmtId="0" fontId="12" fillId="7" borderId="0" applyAlignment="1" pivotButton="0" quotePrefix="0" xfId="0">
      <alignment vertical="center"/>
    </xf>
    <xf numFmtId="0" fontId="13" fillId="8" borderId="0" applyAlignment="1" pivotButton="0" quotePrefix="0" xfId="0">
      <alignment vertical="center"/>
    </xf>
  </cellXfs>
  <cellStyles count="1">
    <cellStyle name="Normal" xfId="0"/>
  </cellStyles>
  <dxfs count="48"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53657A"/>
      </font>
      <fill>
        <patternFill patternType="solid">
          <bgColor rgb="FFF3F6FA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53657A"/>
      </font>
      <fill>
        <patternFill patternType="solid">
          <bgColor rgb="FFF3F6FA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53657A"/>
      </font>
      <fill>
        <patternFill patternType="solid">
          <bgColor rgb="FFF3F6FA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53657A"/>
      </font>
      <fill>
        <patternFill patternType="solid">
          <bgColor rgb="FFF3F6FA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53657A"/>
      </font>
      <fill>
        <patternFill patternType="solid">
          <bgColor rgb="FFF3F6FA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172B4D"/>
      </font>
      <fill>
        <patternFill patternType="solid">
          <bgColor rgb="FFFFF0CC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A32929"/>
      </font>
      <fill>
        <patternFill patternType="solid">
          <bgColor rgb="FFFBE9E7"/>
        </patternFill>
      </fill>
    </dxf>
    <dxf>
      <font>
        <color rgb="FF216844"/>
      </font>
      <fill>
        <patternFill patternType="solid">
          <bgColor rgb="FFE2F2E9"/>
        </patternFill>
      </fill>
    </dxf>
    <dxf>
      <font>
        <color rgb="FFA32929"/>
      </font>
      <fill>
        <patternFill patternType="solid">
          <bgColor rgb="FFFBE9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reenDevelopment" displayName="ScreenDevelopment" ref="A6:AA302" headerRowCount="1" totalsRowCount="0" totalsRowShown="0">
  <autoFilter ref="A6:AA302"/>
  <tableColumns count="27">
    <tableColumn id="1" name="Screen ID"/>
    <tableColumn id="2" name="Screen name"/>
    <tableColumn id="3" name="Module"/>
    <tableColumn id="4" name="Release scope"/>
    <tableColumn id="5" name="Story IDs"/>
    <tableColumn id="6" name="Owner"/>
    <tableColumn id="7" name="Sprint"/>
    <tableColumn id="8" name="Due date"/>
    <tableColumn id="9" name="Mockup"/>
    <tableColumn id="10" name="Frontend"/>
    <tableColumn id="11" name="API / DB"/>
    <tableColumn id="12" name="Integration"/>
    <tableColumn id="13" name="QA"/>
    <tableColumn id="14" name="Acceptance"/>
    <tableColumn id="15" name="Open critical / high bugs"/>
    <tableColumn id="16" name="Deployment"/>
    <tableColumn id="17" name="Blocker / dependency"/>
    <tableColumn id="18" name="Next action"/>
    <tableColumn id="19" name="Work item / PR link"/>
    <tableColumn id="20" name="QA evidence link"/>
    <tableColumn id="21" name="Last updated"/>
    <tableColumn id="22" name="Not required reason"/>
    <tableColumn id="23" name="State (calculated)"/>
    <tableColumn id="24" name="Dev verified"/>
    <tableColumn id="25" name="Schedule (calculated)"/>
    <tableColumn id="26" name="Days overdue"/>
    <tableColumn id="27" name="Rol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SharedDevelopment" displayName="SharedDevelopment" ref="A6:K22" headerRowCount="1" totalsRowCount="0" totalsRowShown="0">
  <autoFilter ref="A6:K22"/>
  <tableColumns count="11">
    <tableColumn id="1" name="Work ID"/>
    <tableColumn id="2" name="Shared deliverable"/>
    <tableColumn id="3" name="Owner"/>
    <tableColumn id="4" name="Sprint"/>
    <tableColumn id="5" name="Due date"/>
    <tableColumn id="6" name="Status"/>
    <tableColumn id="7" name="Blocker / dependency"/>
    <tableColumn id="8" name="Evidence / reason"/>
    <tableColumn id="9" name="Next action"/>
    <tableColumn id="10" name="Verified"/>
    <tableColumn id="11" name="Schedu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1763CF"/>
    <outlinePr summaryBelow="1" summaryRight="1"/>
    <pageSetUpPr/>
  </sheetPr>
  <dimension ref="A1:J6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9.11000061035156" customWidth="1" min="1" max="1"/>
    <col width="8.329999923706055" customWidth="1" min="2" max="2"/>
    <col width="10.22000026702881" customWidth="1" min="3" max="3"/>
    <col width="10" customWidth="1" min="4" max="4"/>
    <col width="11.10999965667725" customWidth="1" min="5" max="5"/>
    <col width="10" customWidth="1" min="6" max="6"/>
    <col width="11.10999965667725" customWidth="1" min="7" max="7"/>
    <col width="10.67000007629395" customWidth="1" min="8" max="8"/>
    <col width="10" customWidth="1" min="9" max="9"/>
    <col width="10.22000026702881" customWidth="1" min="10" max="10"/>
  </cols>
  <sheetData>
    <row r="1" ht="9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4" t="inlineStr">
        <is>
          <t>School ERP development progress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</row>
    <row r="3" ht="22" customHeight="1">
      <c r="A3" s="6" t="inlineStr">
        <is>
          <t>296 screens across 25 modules. Counts update when the team edits the tracker.</t>
        </is>
      </c>
      <c r="G3" s="2" t="n"/>
      <c r="H3" s="2" t="inlineStr">
        <is>
          <t>Review date</t>
        </is>
      </c>
      <c r="I3" s="29">
        <f>TODAY()</f>
        <v/>
      </c>
    </row>
    <row r="4" ht="22" customHeight="1">
      <c r="A4" s="2" t="inlineStr">
        <is>
          <t>Screens in scope</t>
        </is>
      </c>
      <c r="B4" s="8">
        <f>COUNTA('Screen Tracker'!$A$7:$A$302)</f>
        <v/>
      </c>
      <c r="C4" s="2" t="n"/>
      <c r="D4" s="2" t="inlineStr">
        <is>
          <t>No owner</t>
        </is>
      </c>
      <c r="F4" s="8">
        <f>COUNTBLANK('Screen Tracker'!$F$7:$F$302)</f>
        <v/>
      </c>
      <c r="G4" s="2" t="n"/>
      <c r="H4" s="6" t="inlineStr">
        <is>
          <t>Baseline: mockups are ready. Implementation, owners and deadlines have not been assessed.</t>
        </is>
      </c>
    </row>
    <row r="5" ht="22" customHeight="1">
      <c r="A5" s="2" t="inlineStr">
        <is>
          <t>Mockups ready</t>
        </is>
      </c>
      <c r="B5" s="8">
        <f>COUNTIFS('Screen Tracker'!$I$7:$I$302,"Ready")</f>
        <v/>
      </c>
      <c r="C5" s="2" t="n"/>
      <c r="D5" s="2" t="inlineStr">
        <is>
          <t>No deadline</t>
        </is>
      </c>
      <c r="F5" s="8">
        <f>COUNTIFS('Screen Tracker'!$Y$7:$Y$302,"No deadline")</f>
        <v/>
      </c>
      <c r="G5" s="2" t="n"/>
    </row>
    <row r="6" ht="22" customHeight="1">
      <c r="A6" s="2" t="inlineStr">
        <is>
          <t>Development verified</t>
        </is>
      </c>
      <c r="B6" s="8">
        <f>COUNTIFS('Screen Tracker'!$X$7:$X$302,"Yes")</f>
        <v/>
      </c>
      <c r="C6" s="2" t="n"/>
      <c r="D6" s="2" t="inlineStr">
        <is>
          <t>Blocked</t>
        </is>
      </c>
      <c r="F6" s="8">
        <f>COUNTIFS('Screen Tracker'!$W$7:$W$302,"Blocked")</f>
        <v/>
      </c>
      <c r="G6" s="2" t="n"/>
    </row>
    <row r="7" ht="22" customHeight="1">
      <c r="A7" s="2" t="inlineStr">
        <is>
          <t>Released</t>
        </is>
      </c>
      <c r="B7" s="8">
        <f>COUNTIFS('Screen Tracker'!$W$7:$W$302,"Released")</f>
        <v/>
      </c>
      <c r="C7" s="2" t="n"/>
      <c r="D7" s="2" t="inlineStr">
        <is>
          <t>Overdue</t>
        </is>
      </c>
      <c r="F7" s="8">
        <f>COUNTIFS('Screen Tracker'!$Y$7:$Y$302,"Overdue")</f>
        <v/>
      </c>
      <c r="G7" s="2" t="n"/>
      <c r="H7" s="6" t="inlineStr">
        <is>
          <t>Completion measures verified screens, not hours or effort. Shared services are tracked separately. This workbook is updated manually.</t>
        </is>
      </c>
    </row>
    <row r="8" ht="22" customHeight="1">
      <c r="A8" s="2" t="inlineStr">
        <is>
          <t>Verified completion rate</t>
        </is>
      </c>
      <c r="B8" s="30">
        <f>B6/B4</f>
        <v/>
      </c>
      <c r="C8" s="2" t="n"/>
      <c r="D8" s="2" t="inlineStr">
        <is>
          <t>Due within 7 days</t>
        </is>
      </c>
      <c r="F8" s="8">
        <f>COUNTIFS('Screen Tracker'!$Y$7:$Y$302,"Due soon")</f>
        <v/>
      </c>
      <c r="G8" s="2" t="n"/>
    </row>
    <row r="9" ht="22" customHeight="1">
      <c r="A9" s="2" t="inlineStr">
        <is>
          <t>Not assessed</t>
        </is>
      </c>
      <c r="B9" s="8">
        <f>COUNTIFS('Screen Tracker'!$W$7:$W$302,"Not assessed")</f>
        <v/>
      </c>
      <c r="C9" s="2" t="n"/>
      <c r="D9" s="2" t="inlineStr">
        <is>
          <t>Release needs review</t>
        </is>
      </c>
      <c r="F9" s="8">
        <f>COUNTIFS('Screen Tracker'!$W$7:$W$302,"Review release")</f>
        <v/>
      </c>
      <c r="G9" s="2" t="n"/>
    </row>
    <row r="10" ht="22" customHeight="1">
      <c r="A10" s="2" t="inlineStr">
        <is>
          <t>Shared tasks verified</t>
        </is>
      </c>
      <c r="B10" s="8">
        <f>COUNTIFS('Shared Work'!$J$7:$J$22,"Yes")</f>
        <v/>
      </c>
      <c r="C10" s="2" t="n"/>
      <c r="D10" s="2" t="inlineStr">
        <is>
          <t>Rework / rolled back</t>
        </is>
      </c>
      <c r="F10" s="8">
        <f>COUNTIFS('Screen Tracker'!$W$7:$W$302,"Rework")+COUNTIFS('Screen Tracker'!$W$7:$W$302,"Rolled back")</f>
        <v/>
      </c>
      <c r="G10" s="2" t="n"/>
    </row>
    <row r="11" ht="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2" customHeight="1">
      <c r="A12" s="6" t="inlineStr">
        <is>
          <t>Filter Screen Tracker by owner, sprint, module or state. Enter zero open critical/high bugs only after checking.</t>
        </is>
      </c>
    </row>
    <row r="13" ht="22" customHeight="1">
      <c r="A13" s="10" t="inlineStr">
        <is>
          <t>Progress by module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35" customHeight="1">
      <c r="A14" s="14" t="inlineStr">
        <is>
          <t>Module</t>
        </is>
      </c>
      <c r="B14" s="14" t="inlineStr">
        <is>
          <t>Screens</t>
        </is>
      </c>
      <c r="C14" s="14" t="inlineStr">
        <is>
          <t>Frontend done</t>
        </is>
      </c>
      <c r="D14" s="14" t="inlineStr">
        <is>
          <t>API resolved</t>
        </is>
      </c>
      <c r="E14" s="14" t="inlineStr">
        <is>
          <t>Integrated</t>
        </is>
      </c>
      <c r="F14" s="14" t="inlineStr">
        <is>
          <t>QA passed</t>
        </is>
      </c>
      <c r="G14" s="14" t="inlineStr">
        <is>
          <t>Dev verified</t>
        </is>
      </c>
      <c r="H14" s="14" t="inlineStr">
        <is>
          <t>Released</t>
        </is>
      </c>
      <c r="I14" s="14" t="inlineStr">
        <is>
          <t>Blocked</t>
        </is>
      </c>
      <c r="J14" s="14" t="inlineStr">
        <is>
          <t>Overdue</t>
        </is>
      </c>
    </row>
    <row r="15" ht="29" customHeight="1">
      <c r="A15" s="16" t="inlineStr">
        <is>
          <t>Public Website &amp; Authentication</t>
        </is>
      </c>
      <c r="B15" s="17">
        <f>COUNTIFS('Screen Tracker'!$C$7:$C$302,$A15)</f>
        <v/>
      </c>
      <c r="C15" s="17">
        <f>COUNTIFS('Screen Tracker'!$C$7:$C$302,$A15,'Screen Tracker'!$J$7:$J$302,"Done")</f>
        <v/>
      </c>
      <c r="D15" s="17">
        <f>COUNTIFS('Screen Tracker'!$C$7:$C$302,$A15,'Screen Tracker'!$K$7:$K$302,"Done")+COUNTIFS('Screen Tracker'!$C$7:$C$302,$A15,'Screen Tracker'!$K$7:$K$302,"Not required",'Screen Tracker'!$V$7:$V$302,"&lt;&gt;")</f>
        <v/>
      </c>
      <c r="E15" s="17">
        <f>COUNTIFS('Screen Tracker'!$C$7:$C$302,$A15,'Screen Tracker'!$L$7:$L$302,"Done")+COUNTIFS('Screen Tracker'!$C$7:$C$302,$A15,'Screen Tracker'!$L$7:$L$302,"Not required",'Screen Tracker'!$V$7:$V$302,"&lt;&gt;")</f>
        <v/>
      </c>
      <c r="F15" s="17">
        <f>COUNTIFS('Screen Tracker'!$C$7:$C$302,$A15,'Screen Tracker'!$M$7:$M$302,"Passed")</f>
        <v/>
      </c>
      <c r="G15" s="17">
        <f>COUNTIFS('Screen Tracker'!$C$7:$C$302,$A15,'Screen Tracker'!$X$7:$X$302,"Yes")</f>
        <v/>
      </c>
      <c r="H15" s="17">
        <f>COUNTIFS('Screen Tracker'!$C$7:$C$302,$A15,'Screen Tracker'!$W$7:$W$302,"Released")</f>
        <v/>
      </c>
      <c r="I15" s="17">
        <f>COUNTIFS('Screen Tracker'!$C$7:$C$302,$A15,'Screen Tracker'!$W$7:$W$302,"Blocked")</f>
        <v/>
      </c>
      <c r="J15" s="17">
        <f>COUNTIFS('Screen Tracker'!$C$7:$C$302,$A15,'Screen Tracker'!$Y$7:$Y$302,"Overdue")</f>
        <v/>
      </c>
    </row>
    <row r="16" ht="29" customHeight="1">
      <c r="A16" s="5" t="inlineStr">
        <is>
          <t>Super Admin / SaaS Administration</t>
        </is>
      </c>
      <c r="B16" s="18">
        <f>COUNTIFS('Screen Tracker'!$C$7:$C$302,$A16)</f>
        <v/>
      </c>
      <c r="C16" s="18">
        <f>COUNTIFS('Screen Tracker'!$C$7:$C$302,$A16,'Screen Tracker'!$J$7:$J$302,"Done")</f>
        <v/>
      </c>
      <c r="D16" s="18">
        <f>COUNTIFS('Screen Tracker'!$C$7:$C$302,$A16,'Screen Tracker'!$K$7:$K$302,"Done")+COUNTIFS('Screen Tracker'!$C$7:$C$302,$A16,'Screen Tracker'!$K$7:$K$302,"Not required",'Screen Tracker'!$V$7:$V$302,"&lt;&gt;")</f>
        <v/>
      </c>
      <c r="E16" s="18">
        <f>COUNTIFS('Screen Tracker'!$C$7:$C$302,$A16,'Screen Tracker'!$L$7:$L$302,"Done")+COUNTIFS('Screen Tracker'!$C$7:$C$302,$A16,'Screen Tracker'!$L$7:$L$302,"Not required",'Screen Tracker'!$V$7:$V$302,"&lt;&gt;")</f>
        <v/>
      </c>
      <c r="F16" s="18">
        <f>COUNTIFS('Screen Tracker'!$C$7:$C$302,$A16,'Screen Tracker'!$M$7:$M$302,"Passed")</f>
        <v/>
      </c>
      <c r="G16" s="18">
        <f>COUNTIFS('Screen Tracker'!$C$7:$C$302,$A16,'Screen Tracker'!$X$7:$X$302,"Yes")</f>
        <v/>
      </c>
      <c r="H16" s="18">
        <f>COUNTIFS('Screen Tracker'!$C$7:$C$302,$A16,'Screen Tracker'!$W$7:$W$302,"Released")</f>
        <v/>
      </c>
      <c r="I16" s="18">
        <f>COUNTIFS('Screen Tracker'!$C$7:$C$302,$A16,'Screen Tracker'!$W$7:$W$302,"Blocked")</f>
        <v/>
      </c>
      <c r="J16" s="18">
        <f>COUNTIFS('Screen Tracker'!$C$7:$C$302,$A16,'Screen Tracker'!$Y$7:$Y$302,"Overdue")</f>
        <v/>
      </c>
    </row>
    <row r="17" ht="29" customHeight="1">
      <c r="A17" s="16" t="inlineStr">
        <is>
          <t>Organization / School / Branch Setup</t>
        </is>
      </c>
      <c r="B17" s="17">
        <f>COUNTIFS('Screen Tracker'!$C$7:$C$302,$A17)</f>
        <v/>
      </c>
      <c r="C17" s="17">
        <f>COUNTIFS('Screen Tracker'!$C$7:$C$302,$A17,'Screen Tracker'!$J$7:$J$302,"Done")</f>
        <v/>
      </c>
      <c r="D17" s="17">
        <f>COUNTIFS('Screen Tracker'!$C$7:$C$302,$A17,'Screen Tracker'!$K$7:$K$302,"Done")+COUNTIFS('Screen Tracker'!$C$7:$C$302,$A17,'Screen Tracker'!$K$7:$K$302,"Not required",'Screen Tracker'!$V$7:$V$302,"&lt;&gt;")</f>
        <v/>
      </c>
      <c r="E17" s="17">
        <f>COUNTIFS('Screen Tracker'!$C$7:$C$302,$A17,'Screen Tracker'!$L$7:$L$302,"Done")+COUNTIFS('Screen Tracker'!$C$7:$C$302,$A17,'Screen Tracker'!$L$7:$L$302,"Not required",'Screen Tracker'!$V$7:$V$302,"&lt;&gt;")</f>
        <v/>
      </c>
      <c r="F17" s="17">
        <f>COUNTIFS('Screen Tracker'!$C$7:$C$302,$A17,'Screen Tracker'!$M$7:$M$302,"Passed")</f>
        <v/>
      </c>
      <c r="G17" s="17">
        <f>COUNTIFS('Screen Tracker'!$C$7:$C$302,$A17,'Screen Tracker'!$X$7:$X$302,"Yes")</f>
        <v/>
      </c>
      <c r="H17" s="17">
        <f>COUNTIFS('Screen Tracker'!$C$7:$C$302,$A17,'Screen Tracker'!$W$7:$W$302,"Released")</f>
        <v/>
      </c>
      <c r="I17" s="17">
        <f>COUNTIFS('Screen Tracker'!$C$7:$C$302,$A17,'Screen Tracker'!$W$7:$W$302,"Blocked")</f>
        <v/>
      </c>
      <c r="J17" s="17">
        <f>COUNTIFS('Screen Tracker'!$C$7:$C$302,$A17,'Screen Tracker'!$Y$7:$Y$302,"Overdue")</f>
        <v/>
      </c>
    </row>
    <row r="18" ht="29" customHeight="1">
      <c r="A18" s="5" t="inlineStr">
        <is>
          <t>Role Dashboards</t>
        </is>
      </c>
      <c r="B18" s="18">
        <f>COUNTIFS('Screen Tracker'!$C$7:$C$302,$A18)</f>
        <v/>
      </c>
      <c r="C18" s="18">
        <f>COUNTIFS('Screen Tracker'!$C$7:$C$302,$A18,'Screen Tracker'!$J$7:$J$302,"Done")</f>
        <v/>
      </c>
      <c r="D18" s="18">
        <f>COUNTIFS('Screen Tracker'!$C$7:$C$302,$A18,'Screen Tracker'!$K$7:$K$302,"Done")+COUNTIFS('Screen Tracker'!$C$7:$C$302,$A18,'Screen Tracker'!$K$7:$K$302,"Not required",'Screen Tracker'!$V$7:$V$302,"&lt;&gt;")</f>
        <v/>
      </c>
      <c r="E18" s="18">
        <f>COUNTIFS('Screen Tracker'!$C$7:$C$302,$A18,'Screen Tracker'!$L$7:$L$302,"Done")+COUNTIFS('Screen Tracker'!$C$7:$C$302,$A18,'Screen Tracker'!$L$7:$L$302,"Not required",'Screen Tracker'!$V$7:$V$302,"&lt;&gt;")</f>
        <v/>
      </c>
      <c r="F18" s="18">
        <f>COUNTIFS('Screen Tracker'!$C$7:$C$302,$A18,'Screen Tracker'!$M$7:$M$302,"Passed")</f>
        <v/>
      </c>
      <c r="G18" s="18">
        <f>COUNTIFS('Screen Tracker'!$C$7:$C$302,$A18,'Screen Tracker'!$X$7:$X$302,"Yes")</f>
        <v/>
      </c>
      <c r="H18" s="18">
        <f>COUNTIFS('Screen Tracker'!$C$7:$C$302,$A18,'Screen Tracker'!$W$7:$W$302,"Released")</f>
        <v/>
      </c>
      <c r="I18" s="18">
        <f>COUNTIFS('Screen Tracker'!$C$7:$C$302,$A18,'Screen Tracker'!$W$7:$W$302,"Blocked")</f>
        <v/>
      </c>
      <c r="J18" s="18">
        <f>COUNTIFS('Screen Tracker'!$C$7:$C$302,$A18,'Screen Tracker'!$Y$7:$Y$302,"Overdue")</f>
        <v/>
      </c>
    </row>
    <row r="19" ht="29" customHeight="1">
      <c r="A19" s="16" t="inlineStr">
        <is>
          <t>Admissions &amp; Enquiries</t>
        </is>
      </c>
      <c r="B19" s="17">
        <f>COUNTIFS('Screen Tracker'!$C$7:$C$302,$A19)</f>
        <v/>
      </c>
      <c r="C19" s="17">
        <f>COUNTIFS('Screen Tracker'!$C$7:$C$302,$A19,'Screen Tracker'!$J$7:$J$302,"Done")</f>
        <v/>
      </c>
      <c r="D19" s="17">
        <f>COUNTIFS('Screen Tracker'!$C$7:$C$302,$A19,'Screen Tracker'!$K$7:$K$302,"Done")+COUNTIFS('Screen Tracker'!$C$7:$C$302,$A19,'Screen Tracker'!$K$7:$K$302,"Not required",'Screen Tracker'!$V$7:$V$302,"&lt;&gt;")</f>
        <v/>
      </c>
      <c r="E19" s="17">
        <f>COUNTIFS('Screen Tracker'!$C$7:$C$302,$A19,'Screen Tracker'!$L$7:$L$302,"Done")+COUNTIFS('Screen Tracker'!$C$7:$C$302,$A19,'Screen Tracker'!$L$7:$L$302,"Not required",'Screen Tracker'!$V$7:$V$302,"&lt;&gt;")</f>
        <v/>
      </c>
      <c r="F19" s="17">
        <f>COUNTIFS('Screen Tracker'!$C$7:$C$302,$A19,'Screen Tracker'!$M$7:$M$302,"Passed")</f>
        <v/>
      </c>
      <c r="G19" s="17">
        <f>COUNTIFS('Screen Tracker'!$C$7:$C$302,$A19,'Screen Tracker'!$X$7:$X$302,"Yes")</f>
        <v/>
      </c>
      <c r="H19" s="17">
        <f>COUNTIFS('Screen Tracker'!$C$7:$C$302,$A19,'Screen Tracker'!$W$7:$W$302,"Released")</f>
        <v/>
      </c>
      <c r="I19" s="17">
        <f>COUNTIFS('Screen Tracker'!$C$7:$C$302,$A19,'Screen Tracker'!$W$7:$W$302,"Blocked")</f>
        <v/>
      </c>
      <c r="J19" s="17">
        <f>COUNTIFS('Screen Tracker'!$C$7:$C$302,$A19,'Screen Tracker'!$Y$7:$Y$302,"Overdue")</f>
        <v/>
      </c>
    </row>
    <row r="20" ht="29" customHeight="1">
      <c r="A20" s="5" t="inlineStr">
        <is>
          <t>Students</t>
        </is>
      </c>
      <c r="B20" s="18">
        <f>COUNTIFS('Screen Tracker'!$C$7:$C$302,$A20)</f>
        <v/>
      </c>
      <c r="C20" s="18">
        <f>COUNTIFS('Screen Tracker'!$C$7:$C$302,$A20,'Screen Tracker'!$J$7:$J$302,"Done")</f>
        <v/>
      </c>
      <c r="D20" s="18">
        <f>COUNTIFS('Screen Tracker'!$C$7:$C$302,$A20,'Screen Tracker'!$K$7:$K$302,"Done")+COUNTIFS('Screen Tracker'!$C$7:$C$302,$A20,'Screen Tracker'!$K$7:$K$302,"Not required",'Screen Tracker'!$V$7:$V$302,"&lt;&gt;")</f>
        <v/>
      </c>
      <c r="E20" s="18">
        <f>COUNTIFS('Screen Tracker'!$C$7:$C$302,$A20,'Screen Tracker'!$L$7:$L$302,"Done")+COUNTIFS('Screen Tracker'!$C$7:$C$302,$A20,'Screen Tracker'!$L$7:$L$302,"Not required",'Screen Tracker'!$V$7:$V$302,"&lt;&gt;")</f>
        <v/>
      </c>
      <c r="F20" s="18">
        <f>COUNTIFS('Screen Tracker'!$C$7:$C$302,$A20,'Screen Tracker'!$M$7:$M$302,"Passed")</f>
        <v/>
      </c>
      <c r="G20" s="18">
        <f>COUNTIFS('Screen Tracker'!$C$7:$C$302,$A20,'Screen Tracker'!$X$7:$X$302,"Yes")</f>
        <v/>
      </c>
      <c r="H20" s="18">
        <f>COUNTIFS('Screen Tracker'!$C$7:$C$302,$A20,'Screen Tracker'!$W$7:$W$302,"Released")</f>
        <v/>
      </c>
      <c r="I20" s="18">
        <f>COUNTIFS('Screen Tracker'!$C$7:$C$302,$A20,'Screen Tracker'!$W$7:$W$302,"Blocked")</f>
        <v/>
      </c>
      <c r="J20" s="18">
        <f>COUNTIFS('Screen Tracker'!$C$7:$C$302,$A20,'Screen Tracker'!$Y$7:$Y$302,"Overdue")</f>
        <v/>
      </c>
    </row>
    <row r="21" ht="29" customHeight="1">
      <c r="A21" s="16" t="inlineStr">
        <is>
          <t>Parents &amp; Guardians</t>
        </is>
      </c>
      <c r="B21" s="17">
        <f>COUNTIFS('Screen Tracker'!$C$7:$C$302,$A21)</f>
        <v/>
      </c>
      <c r="C21" s="17">
        <f>COUNTIFS('Screen Tracker'!$C$7:$C$302,$A21,'Screen Tracker'!$J$7:$J$302,"Done")</f>
        <v/>
      </c>
      <c r="D21" s="17">
        <f>COUNTIFS('Screen Tracker'!$C$7:$C$302,$A21,'Screen Tracker'!$K$7:$K$302,"Done")+COUNTIFS('Screen Tracker'!$C$7:$C$302,$A21,'Screen Tracker'!$K$7:$K$302,"Not required",'Screen Tracker'!$V$7:$V$302,"&lt;&gt;")</f>
        <v/>
      </c>
      <c r="E21" s="17">
        <f>COUNTIFS('Screen Tracker'!$C$7:$C$302,$A21,'Screen Tracker'!$L$7:$L$302,"Done")+COUNTIFS('Screen Tracker'!$C$7:$C$302,$A21,'Screen Tracker'!$L$7:$L$302,"Not required",'Screen Tracker'!$V$7:$V$302,"&lt;&gt;")</f>
        <v/>
      </c>
      <c r="F21" s="17">
        <f>COUNTIFS('Screen Tracker'!$C$7:$C$302,$A21,'Screen Tracker'!$M$7:$M$302,"Passed")</f>
        <v/>
      </c>
      <c r="G21" s="17">
        <f>COUNTIFS('Screen Tracker'!$C$7:$C$302,$A21,'Screen Tracker'!$X$7:$X$302,"Yes")</f>
        <v/>
      </c>
      <c r="H21" s="17">
        <f>COUNTIFS('Screen Tracker'!$C$7:$C$302,$A21,'Screen Tracker'!$W$7:$W$302,"Released")</f>
        <v/>
      </c>
      <c r="I21" s="17">
        <f>COUNTIFS('Screen Tracker'!$C$7:$C$302,$A21,'Screen Tracker'!$W$7:$W$302,"Blocked")</f>
        <v/>
      </c>
      <c r="J21" s="17">
        <f>COUNTIFS('Screen Tracker'!$C$7:$C$302,$A21,'Screen Tracker'!$Y$7:$Y$302,"Overdue")</f>
        <v/>
      </c>
    </row>
    <row r="22" ht="29" customHeight="1">
      <c r="A22" s="5" t="inlineStr">
        <is>
          <t>Teachers &amp; Staff</t>
        </is>
      </c>
      <c r="B22" s="18">
        <f>COUNTIFS('Screen Tracker'!$C$7:$C$302,$A22)</f>
        <v/>
      </c>
      <c r="C22" s="18">
        <f>COUNTIFS('Screen Tracker'!$C$7:$C$302,$A22,'Screen Tracker'!$J$7:$J$302,"Done")</f>
        <v/>
      </c>
      <c r="D22" s="18">
        <f>COUNTIFS('Screen Tracker'!$C$7:$C$302,$A22,'Screen Tracker'!$K$7:$K$302,"Done")+COUNTIFS('Screen Tracker'!$C$7:$C$302,$A22,'Screen Tracker'!$K$7:$K$302,"Not required",'Screen Tracker'!$V$7:$V$302,"&lt;&gt;")</f>
        <v/>
      </c>
      <c r="E22" s="18">
        <f>COUNTIFS('Screen Tracker'!$C$7:$C$302,$A22,'Screen Tracker'!$L$7:$L$302,"Done")+COUNTIFS('Screen Tracker'!$C$7:$C$302,$A22,'Screen Tracker'!$L$7:$L$302,"Not required",'Screen Tracker'!$V$7:$V$302,"&lt;&gt;")</f>
        <v/>
      </c>
      <c r="F22" s="18">
        <f>COUNTIFS('Screen Tracker'!$C$7:$C$302,$A22,'Screen Tracker'!$M$7:$M$302,"Passed")</f>
        <v/>
      </c>
      <c r="G22" s="18">
        <f>COUNTIFS('Screen Tracker'!$C$7:$C$302,$A22,'Screen Tracker'!$X$7:$X$302,"Yes")</f>
        <v/>
      </c>
      <c r="H22" s="18">
        <f>COUNTIFS('Screen Tracker'!$C$7:$C$302,$A22,'Screen Tracker'!$W$7:$W$302,"Released")</f>
        <v/>
      </c>
      <c r="I22" s="18">
        <f>COUNTIFS('Screen Tracker'!$C$7:$C$302,$A22,'Screen Tracker'!$W$7:$W$302,"Blocked")</f>
        <v/>
      </c>
      <c r="J22" s="18">
        <f>COUNTIFS('Screen Tracker'!$C$7:$C$302,$A22,'Screen Tracker'!$Y$7:$Y$302,"Overdue")</f>
        <v/>
      </c>
    </row>
    <row r="23" ht="29" customHeight="1">
      <c r="A23" s="16" t="inlineStr">
        <is>
          <t>Academics &amp; Curriculum</t>
        </is>
      </c>
      <c r="B23" s="17">
        <f>COUNTIFS('Screen Tracker'!$C$7:$C$302,$A23)</f>
        <v/>
      </c>
      <c r="C23" s="17">
        <f>COUNTIFS('Screen Tracker'!$C$7:$C$302,$A23,'Screen Tracker'!$J$7:$J$302,"Done")</f>
        <v/>
      </c>
      <c r="D23" s="17">
        <f>COUNTIFS('Screen Tracker'!$C$7:$C$302,$A23,'Screen Tracker'!$K$7:$K$302,"Done")+COUNTIFS('Screen Tracker'!$C$7:$C$302,$A23,'Screen Tracker'!$K$7:$K$302,"Not required",'Screen Tracker'!$V$7:$V$302,"&lt;&gt;")</f>
        <v/>
      </c>
      <c r="E23" s="17">
        <f>COUNTIFS('Screen Tracker'!$C$7:$C$302,$A23,'Screen Tracker'!$L$7:$L$302,"Done")+COUNTIFS('Screen Tracker'!$C$7:$C$302,$A23,'Screen Tracker'!$L$7:$L$302,"Not required",'Screen Tracker'!$V$7:$V$302,"&lt;&gt;")</f>
        <v/>
      </c>
      <c r="F23" s="17">
        <f>COUNTIFS('Screen Tracker'!$C$7:$C$302,$A23,'Screen Tracker'!$M$7:$M$302,"Passed")</f>
        <v/>
      </c>
      <c r="G23" s="17">
        <f>COUNTIFS('Screen Tracker'!$C$7:$C$302,$A23,'Screen Tracker'!$X$7:$X$302,"Yes")</f>
        <v/>
      </c>
      <c r="H23" s="17">
        <f>COUNTIFS('Screen Tracker'!$C$7:$C$302,$A23,'Screen Tracker'!$W$7:$W$302,"Released")</f>
        <v/>
      </c>
      <c r="I23" s="17">
        <f>COUNTIFS('Screen Tracker'!$C$7:$C$302,$A23,'Screen Tracker'!$W$7:$W$302,"Blocked")</f>
        <v/>
      </c>
      <c r="J23" s="17">
        <f>COUNTIFS('Screen Tracker'!$C$7:$C$302,$A23,'Screen Tracker'!$Y$7:$Y$302,"Overdue")</f>
        <v/>
      </c>
    </row>
    <row r="24" ht="29" customHeight="1">
      <c r="A24" s="5" t="inlineStr">
        <is>
          <t>Student Attendance</t>
        </is>
      </c>
      <c r="B24" s="18">
        <f>COUNTIFS('Screen Tracker'!$C$7:$C$302,$A24)</f>
        <v/>
      </c>
      <c r="C24" s="18">
        <f>COUNTIFS('Screen Tracker'!$C$7:$C$302,$A24,'Screen Tracker'!$J$7:$J$302,"Done")</f>
        <v/>
      </c>
      <c r="D24" s="18">
        <f>COUNTIFS('Screen Tracker'!$C$7:$C$302,$A24,'Screen Tracker'!$K$7:$K$302,"Done")+COUNTIFS('Screen Tracker'!$C$7:$C$302,$A24,'Screen Tracker'!$K$7:$K$302,"Not required",'Screen Tracker'!$V$7:$V$302,"&lt;&gt;")</f>
        <v/>
      </c>
      <c r="E24" s="18">
        <f>COUNTIFS('Screen Tracker'!$C$7:$C$302,$A24,'Screen Tracker'!$L$7:$L$302,"Done")+COUNTIFS('Screen Tracker'!$C$7:$C$302,$A24,'Screen Tracker'!$L$7:$L$302,"Not required",'Screen Tracker'!$V$7:$V$302,"&lt;&gt;")</f>
        <v/>
      </c>
      <c r="F24" s="18">
        <f>COUNTIFS('Screen Tracker'!$C$7:$C$302,$A24,'Screen Tracker'!$M$7:$M$302,"Passed")</f>
        <v/>
      </c>
      <c r="G24" s="18">
        <f>COUNTIFS('Screen Tracker'!$C$7:$C$302,$A24,'Screen Tracker'!$X$7:$X$302,"Yes")</f>
        <v/>
      </c>
      <c r="H24" s="18">
        <f>COUNTIFS('Screen Tracker'!$C$7:$C$302,$A24,'Screen Tracker'!$W$7:$W$302,"Released")</f>
        <v/>
      </c>
      <c r="I24" s="18">
        <f>COUNTIFS('Screen Tracker'!$C$7:$C$302,$A24,'Screen Tracker'!$W$7:$W$302,"Blocked")</f>
        <v/>
      </c>
      <c r="J24" s="18">
        <f>COUNTIFS('Screen Tracker'!$C$7:$C$302,$A24,'Screen Tracker'!$Y$7:$Y$302,"Overdue")</f>
        <v/>
      </c>
    </row>
    <row r="25" ht="29" customHeight="1">
      <c r="A25" s="16" t="inlineStr">
        <is>
          <t>Timetable &amp; Substitution</t>
        </is>
      </c>
      <c r="B25" s="17">
        <f>COUNTIFS('Screen Tracker'!$C$7:$C$302,$A25)</f>
        <v/>
      </c>
      <c r="C25" s="17">
        <f>COUNTIFS('Screen Tracker'!$C$7:$C$302,$A25,'Screen Tracker'!$J$7:$J$302,"Done")</f>
        <v/>
      </c>
      <c r="D25" s="17">
        <f>COUNTIFS('Screen Tracker'!$C$7:$C$302,$A25,'Screen Tracker'!$K$7:$K$302,"Done")+COUNTIFS('Screen Tracker'!$C$7:$C$302,$A25,'Screen Tracker'!$K$7:$K$302,"Not required",'Screen Tracker'!$V$7:$V$302,"&lt;&gt;")</f>
        <v/>
      </c>
      <c r="E25" s="17">
        <f>COUNTIFS('Screen Tracker'!$C$7:$C$302,$A25,'Screen Tracker'!$L$7:$L$302,"Done")+COUNTIFS('Screen Tracker'!$C$7:$C$302,$A25,'Screen Tracker'!$L$7:$L$302,"Not required",'Screen Tracker'!$V$7:$V$302,"&lt;&gt;")</f>
        <v/>
      </c>
      <c r="F25" s="17">
        <f>COUNTIFS('Screen Tracker'!$C$7:$C$302,$A25,'Screen Tracker'!$M$7:$M$302,"Passed")</f>
        <v/>
      </c>
      <c r="G25" s="17">
        <f>COUNTIFS('Screen Tracker'!$C$7:$C$302,$A25,'Screen Tracker'!$X$7:$X$302,"Yes")</f>
        <v/>
      </c>
      <c r="H25" s="17">
        <f>COUNTIFS('Screen Tracker'!$C$7:$C$302,$A25,'Screen Tracker'!$W$7:$W$302,"Released")</f>
        <v/>
      </c>
      <c r="I25" s="17">
        <f>COUNTIFS('Screen Tracker'!$C$7:$C$302,$A25,'Screen Tracker'!$W$7:$W$302,"Blocked")</f>
        <v/>
      </c>
      <c r="J25" s="17">
        <f>COUNTIFS('Screen Tracker'!$C$7:$C$302,$A25,'Screen Tracker'!$Y$7:$Y$302,"Overdue")</f>
        <v/>
      </c>
    </row>
    <row r="26" ht="29" customHeight="1">
      <c r="A26" s="5" t="inlineStr">
        <is>
          <t>Homework &amp; Assignments</t>
        </is>
      </c>
      <c r="B26" s="18">
        <f>COUNTIFS('Screen Tracker'!$C$7:$C$302,$A26)</f>
        <v/>
      </c>
      <c r="C26" s="18">
        <f>COUNTIFS('Screen Tracker'!$C$7:$C$302,$A26,'Screen Tracker'!$J$7:$J$302,"Done")</f>
        <v/>
      </c>
      <c r="D26" s="18">
        <f>COUNTIFS('Screen Tracker'!$C$7:$C$302,$A26,'Screen Tracker'!$K$7:$K$302,"Done")+COUNTIFS('Screen Tracker'!$C$7:$C$302,$A26,'Screen Tracker'!$K$7:$K$302,"Not required",'Screen Tracker'!$V$7:$V$302,"&lt;&gt;")</f>
        <v/>
      </c>
      <c r="E26" s="18">
        <f>COUNTIFS('Screen Tracker'!$C$7:$C$302,$A26,'Screen Tracker'!$L$7:$L$302,"Done")+COUNTIFS('Screen Tracker'!$C$7:$C$302,$A26,'Screen Tracker'!$L$7:$L$302,"Not required",'Screen Tracker'!$V$7:$V$302,"&lt;&gt;")</f>
        <v/>
      </c>
      <c r="F26" s="18">
        <f>COUNTIFS('Screen Tracker'!$C$7:$C$302,$A26,'Screen Tracker'!$M$7:$M$302,"Passed")</f>
        <v/>
      </c>
      <c r="G26" s="18">
        <f>COUNTIFS('Screen Tracker'!$C$7:$C$302,$A26,'Screen Tracker'!$X$7:$X$302,"Yes")</f>
        <v/>
      </c>
      <c r="H26" s="18">
        <f>COUNTIFS('Screen Tracker'!$C$7:$C$302,$A26,'Screen Tracker'!$W$7:$W$302,"Released")</f>
        <v/>
      </c>
      <c r="I26" s="18">
        <f>COUNTIFS('Screen Tracker'!$C$7:$C$302,$A26,'Screen Tracker'!$W$7:$W$302,"Blocked")</f>
        <v/>
      </c>
      <c r="J26" s="18">
        <f>COUNTIFS('Screen Tracker'!$C$7:$C$302,$A26,'Screen Tracker'!$Y$7:$Y$302,"Overdue")</f>
        <v/>
      </c>
    </row>
    <row r="27" ht="29" customHeight="1">
      <c r="A27" s="16" t="inlineStr">
        <is>
          <t>Examinations / Marks / Results</t>
        </is>
      </c>
      <c r="B27" s="17">
        <f>COUNTIFS('Screen Tracker'!$C$7:$C$302,$A27)</f>
        <v/>
      </c>
      <c r="C27" s="17">
        <f>COUNTIFS('Screen Tracker'!$C$7:$C$302,$A27,'Screen Tracker'!$J$7:$J$302,"Done")</f>
        <v/>
      </c>
      <c r="D27" s="17">
        <f>COUNTIFS('Screen Tracker'!$C$7:$C$302,$A27,'Screen Tracker'!$K$7:$K$302,"Done")+COUNTIFS('Screen Tracker'!$C$7:$C$302,$A27,'Screen Tracker'!$K$7:$K$302,"Not required",'Screen Tracker'!$V$7:$V$302,"&lt;&gt;")</f>
        <v/>
      </c>
      <c r="E27" s="17">
        <f>COUNTIFS('Screen Tracker'!$C$7:$C$302,$A27,'Screen Tracker'!$L$7:$L$302,"Done")+COUNTIFS('Screen Tracker'!$C$7:$C$302,$A27,'Screen Tracker'!$L$7:$L$302,"Not required",'Screen Tracker'!$V$7:$V$302,"&lt;&gt;")</f>
        <v/>
      </c>
      <c r="F27" s="17">
        <f>COUNTIFS('Screen Tracker'!$C$7:$C$302,$A27,'Screen Tracker'!$M$7:$M$302,"Passed")</f>
        <v/>
      </c>
      <c r="G27" s="17">
        <f>COUNTIFS('Screen Tracker'!$C$7:$C$302,$A27,'Screen Tracker'!$X$7:$X$302,"Yes")</f>
        <v/>
      </c>
      <c r="H27" s="17">
        <f>COUNTIFS('Screen Tracker'!$C$7:$C$302,$A27,'Screen Tracker'!$W$7:$W$302,"Released")</f>
        <v/>
      </c>
      <c r="I27" s="17">
        <f>COUNTIFS('Screen Tracker'!$C$7:$C$302,$A27,'Screen Tracker'!$W$7:$W$302,"Blocked")</f>
        <v/>
      </c>
      <c r="J27" s="17">
        <f>COUNTIFS('Screen Tracker'!$C$7:$C$302,$A27,'Screen Tracker'!$Y$7:$Y$302,"Overdue")</f>
        <v/>
      </c>
    </row>
    <row r="28" ht="29" customHeight="1">
      <c r="A28" s="5" t="inlineStr">
        <is>
          <t>Fees &amp; Finance</t>
        </is>
      </c>
      <c r="B28" s="18">
        <f>COUNTIFS('Screen Tracker'!$C$7:$C$302,$A28)</f>
        <v/>
      </c>
      <c r="C28" s="18">
        <f>COUNTIFS('Screen Tracker'!$C$7:$C$302,$A28,'Screen Tracker'!$J$7:$J$302,"Done")</f>
        <v/>
      </c>
      <c r="D28" s="18">
        <f>COUNTIFS('Screen Tracker'!$C$7:$C$302,$A28,'Screen Tracker'!$K$7:$K$302,"Done")+COUNTIFS('Screen Tracker'!$C$7:$C$302,$A28,'Screen Tracker'!$K$7:$K$302,"Not required",'Screen Tracker'!$V$7:$V$302,"&lt;&gt;")</f>
        <v/>
      </c>
      <c r="E28" s="18">
        <f>COUNTIFS('Screen Tracker'!$C$7:$C$302,$A28,'Screen Tracker'!$L$7:$L$302,"Done")+COUNTIFS('Screen Tracker'!$C$7:$C$302,$A28,'Screen Tracker'!$L$7:$L$302,"Not required",'Screen Tracker'!$V$7:$V$302,"&lt;&gt;")</f>
        <v/>
      </c>
      <c r="F28" s="18">
        <f>COUNTIFS('Screen Tracker'!$C$7:$C$302,$A28,'Screen Tracker'!$M$7:$M$302,"Passed")</f>
        <v/>
      </c>
      <c r="G28" s="18">
        <f>COUNTIFS('Screen Tracker'!$C$7:$C$302,$A28,'Screen Tracker'!$X$7:$X$302,"Yes")</f>
        <v/>
      </c>
      <c r="H28" s="18">
        <f>COUNTIFS('Screen Tracker'!$C$7:$C$302,$A28,'Screen Tracker'!$W$7:$W$302,"Released")</f>
        <v/>
      </c>
      <c r="I28" s="18">
        <f>COUNTIFS('Screen Tracker'!$C$7:$C$302,$A28,'Screen Tracker'!$W$7:$W$302,"Blocked")</f>
        <v/>
      </c>
      <c r="J28" s="18">
        <f>COUNTIFS('Screen Tracker'!$C$7:$C$302,$A28,'Screen Tracker'!$Y$7:$Y$302,"Overdue")</f>
        <v/>
      </c>
    </row>
    <row r="29" ht="29" customHeight="1">
      <c r="A29" s="16" t="inlineStr">
        <is>
          <t>HR / Leave / Payroll</t>
        </is>
      </c>
      <c r="B29" s="17">
        <f>COUNTIFS('Screen Tracker'!$C$7:$C$302,$A29)</f>
        <v/>
      </c>
      <c r="C29" s="17">
        <f>COUNTIFS('Screen Tracker'!$C$7:$C$302,$A29,'Screen Tracker'!$J$7:$J$302,"Done")</f>
        <v/>
      </c>
      <c r="D29" s="17">
        <f>COUNTIFS('Screen Tracker'!$C$7:$C$302,$A29,'Screen Tracker'!$K$7:$K$302,"Done")+COUNTIFS('Screen Tracker'!$C$7:$C$302,$A29,'Screen Tracker'!$K$7:$K$302,"Not required",'Screen Tracker'!$V$7:$V$302,"&lt;&gt;")</f>
        <v/>
      </c>
      <c r="E29" s="17">
        <f>COUNTIFS('Screen Tracker'!$C$7:$C$302,$A29,'Screen Tracker'!$L$7:$L$302,"Done")+COUNTIFS('Screen Tracker'!$C$7:$C$302,$A29,'Screen Tracker'!$L$7:$L$302,"Not required",'Screen Tracker'!$V$7:$V$302,"&lt;&gt;")</f>
        <v/>
      </c>
      <c r="F29" s="17">
        <f>COUNTIFS('Screen Tracker'!$C$7:$C$302,$A29,'Screen Tracker'!$M$7:$M$302,"Passed")</f>
        <v/>
      </c>
      <c r="G29" s="17">
        <f>COUNTIFS('Screen Tracker'!$C$7:$C$302,$A29,'Screen Tracker'!$X$7:$X$302,"Yes")</f>
        <v/>
      </c>
      <c r="H29" s="17">
        <f>COUNTIFS('Screen Tracker'!$C$7:$C$302,$A29,'Screen Tracker'!$W$7:$W$302,"Released")</f>
        <v/>
      </c>
      <c r="I29" s="17">
        <f>COUNTIFS('Screen Tracker'!$C$7:$C$302,$A29,'Screen Tracker'!$W$7:$W$302,"Blocked")</f>
        <v/>
      </c>
      <c r="J29" s="17">
        <f>COUNTIFS('Screen Tracker'!$C$7:$C$302,$A29,'Screen Tracker'!$Y$7:$Y$302,"Overdue")</f>
        <v/>
      </c>
    </row>
    <row r="30" ht="29" customHeight="1">
      <c r="A30" s="5" t="inlineStr">
        <is>
          <t>Transport / Bus / GPS</t>
        </is>
      </c>
      <c r="B30" s="18">
        <f>COUNTIFS('Screen Tracker'!$C$7:$C$302,$A30)</f>
        <v/>
      </c>
      <c r="C30" s="18">
        <f>COUNTIFS('Screen Tracker'!$C$7:$C$302,$A30,'Screen Tracker'!$J$7:$J$302,"Done")</f>
        <v/>
      </c>
      <c r="D30" s="18">
        <f>COUNTIFS('Screen Tracker'!$C$7:$C$302,$A30,'Screen Tracker'!$K$7:$K$302,"Done")+COUNTIFS('Screen Tracker'!$C$7:$C$302,$A30,'Screen Tracker'!$K$7:$K$302,"Not required",'Screen Tracker'!$V$7:$V$302,"&lt;&gt;")</f>
        <v/>
      </c>
      <c r="E30" s="18">
        <f>COUNTIFS('Screen Tracker'!$C$7:$C$302,$A30,'Screen Tracker'!$L$7:$L$302,"Done")+COUNTIFS('Screen Tracker'!$C$7:$C$302,$A30,'Screen Tracker'!$L$7:$L$302,"Not required",'Screen Tracker'!$V$7:$V$302,"&lt;&gt;")</f>
        <v/>
      </c>
      <c r="F30" s="18">
        <f>COUNTIFS('Screen Tracker'!$C$7:$C$302,$A30,'Screen Tracker'!$M$7:$M$302,"Passed")</f>
        <v/>
      </c>
      <c r="G30" s="18">
        <f>COUNTIFS('Screen Tracker'!$C$7:$C$302,$A30,'Screen Tracker'!$X$7:$X$302,"Yes")</f>
        <v/>
      </c>
      <c r="H30" s="18">
        <f>COUNTIFS('Screen Tracker'!$C$7:$C$302,$A30,'Screen Tracker'!$W$7:$W$302,"Released")</f>
        <v/>
      </c>
      <c r="I30" s="18">
        <f>COUNTIFS('Screen Tracker'!$C$7:$C$302,$A30,'Screen Tracker'!$W$7:$W$302,"Blocked")</f>
        <v/>
      </c>
      <c r="J30" s="18">
        <f>COUNTIFS('Screen Tracker'!$C$7:$C$302,$A30,'Screen Tracker'!$Y$7:$Y$302,"Overdue")</f>
        <v/>
      </c>
    </row>
    <row r="31" ht="29" customHeight="1">
      <c r="A31" s="16" t="inlineStr">
        <is>
          <t>Library</t>
        </is>
      </c>
      <c r="B31" s="17">
        <f>COUNTIFS('Screen Tracker'!$C$7:$C$302,$A31)</f>
        <v/>
      </c>
      <c r="C31" s="17">
        <f>COUNTIFS('Screen Tracker'!$C$7:$C$302,$A31,'Screen Tracker'!$J$7:$J$302,"Done")</f>
        <v/>
      </c>
      <c r="D31" s="17">
        <f>COUNTIFS('Screen Tracker'!$C$7:$C$302,$A31,'Screen Tracker'!$K$7:$K$302,"Done")+COUNTIFS('Screen Tracker'!$C$7:$C$302,$A31,'Screen Tracker'!$K$7:$K$302,"Not required",'Screen Tracker'!$V$7:$V$302,"&lt;&gt;")</f>
        <v/>
      </c>
      <c r="E31" s="17">
        <f>COUNTIFS('Screen Tracker'!$C$7:$C$302,$A31,'Screen Tracker'!$L$7:$L$302,"Done")+COUNTIFS('Screen Tracker'!$C$7:$C$302,$A31,'Screen Tracker'!$L$7:$L$302,"Not required",'Screen Tracker'!$V$7:$V$302,"&lt;&gt;")</f>
        <v/>
      </c>
      <c r="F31" s="17">
        <f>COUNTIFS('Screen Tracker'!$C$7:$C$302,$A31,'Screen Tracker'!$M$7:$M$302,"Passed")</f>
        <v/>
      </c>
      <c r="G31" s="17">
        <f>COUNTIFS('Screen Tracker'!$C$7:$C$302,$A31,'Screen Tracker'!$X$7:$X$302,"Yes")</f>
        <v/>
      </c>
      <c r="H31" s="17">
        <f>COUNTIFS('Screen Tracker'!$C$7:$C$302,$A31,'Screen Tracker'!$W$7:$W$302,"Released")</f>
        <v/>
      </c>
      <c r="I31" s="17">
        <f>COUNTIFS('Screen Tracker'!$C$7:$C$302,$A31,'Screen Tracker'!$W$7:$W$302,"Blocked")</f>
        <v/>
      </c>
      <c r="J31" s="17">
        <f>COUNTIFS('Screen Tracker'!$C$7:$C$302,$A31,'Screen Tracker'!$Y$7:$Y$302,"Overdue")</f>
        <v/>
      </c>
    </row>
    <row r="32" ht="29" customHeight="1">
      <c r="A32" s="5" t="inlineStr">
        <is>
          <t>Hostel</t>
        </is>
      </c>
      <c r="B32" s="18">
        <f>COUNTIFS('Screen Tracker'!$C$7:$C$302,$A32)</f>
        <v/>
      </c>
      <c r="C32" s="18">
        <f>COUNTIFS('Screen Tracker'!$C$7:$C$302,$A32,'Screen Tracker'!$J$7:$J$302,"Done")</f>
        <v/>
      </c>
      <c r="D32" s="18">
        <f>COUNTIFS('Screen Tracker'!$C$7:$C$302,$A32,'Screen Tracker'!$K$7:$K$302,"Done")+COUNTIFS('Screen Tracker'!$C$7:$C$302,$A32,'Screen Tracker'!$K$7:$K$302,"Not required",'Screen Tracker'!$V$7:$V$302,"&lt;&gt;")</f>
        <v/>
      </c>
      <c r="E32" s="18">
        <f>COUNTIFS('Screen Tracker'!$C$7:$C$302,$A32,'Screen Tracker'!$L$7:$L$302,"Done")+COUNTIFS('Screen Tracker'!$C$7:$C$302,$A32,'Screen Tracker'!$L$7:$L$302,"Not required",'Screen Tracker'!$V$7:$V$302,"&lt;&gt;")</f>
        <v/>
      </c>
      <c r="F32" s="18">
        <f>COUNTIFS('Screen Tracker'!$C$7:$C$302,$A32,'Screen Tracker'!$M$7:$M$302,"Passed")</f>
        <v/>
      </c>
      <c r="G32" s="18">
        <f>COUNTIFS('Screen Tracker'!$C$7:$C$302,$A32,'Screen Tracker'!$X$7:$X$302,"Yes")</f>
        <v/>
      </c>
      <c r="H32" s="18">
        <f>COUNTIFS('Screen Tracker'!$C$7:$C$302,$A32,'Screen Tracker'!$W$7:$W$302,"Released")</f>
        <v/>
      </c>
      <c r="I32" s="18">
        <f>COUNTIFS('Screen Tracker'!$C$7:$C$302,$A32,'Screen Tracker'!$W$7:$W$302,"Blocked")</f>
        <v/>
      </c>
      <c r="J32" s="18">
        <f>COUNTIFS('Screen Tracker'!$C$7:$C$302,$A32,'Screen Tracker'!$Y$7:$Y$302,"Overdue")</f>
        <v/>
      </c>
    </row>
    <row r="33" ht="29" customHeight="1">
      <c r="A33" s="16" t="inlineStr">
        <is>
          <t>Health / Counselling / Discipline</t>
        </is>
      </c>
      <c r="B33" s="17">
        <f>COUNTIFS('Screen Tracker'!$C$7:$C$302,$A33)</f>
        <v/>
      </c>
      <c r="C33" s="17">
        <f>COUNTIFS('Screen Tracker'!$C$7:$C$302,$A33,'Screen Tracker'!$J$7:$J$302,"Done")</f>
        <v/>
      </c>
      <c r="D33" s="17">
        <f>COUNTIFS('Screen Tracker'!$C$7:$C$302,$A33,'Screen Tracker'!$K$7:$K$302,"Done")+COUNTIFS('Screen Tracker'!$C$7:$C$302,$A33,'Screen Tracker'!$K$7:$K$302,"Not required",'Screen Tracker'!$V$7:$V$302,"&lt;&gt;")</f>
        <v/>
      </c>
      <c r="E33" s="17">
        <f>COUNTIFS('Screen Tracker'!$C$7:$C$302,$A33,'Screen Tracker'!$L$7:$L$302,"Done")+COUNTIFS('Screen Tracker'!$C$7:$C$302,$A33,'Screen Tracker'!$L$7:$L$302,"Not required",'Screen Tracker'!$V$7:$V$302,"&lt;&gt;")</f>
        <v/>
      </c>
      <c r="F33" s="17">
        <f>COUNTIFS('Screen Tracker'!$C$7:$C$302,$A33,'Screen Tracker'!$M$7:$M$302,"Passed")</f>
        <v/>
      </c>
      <c r="G33" s="17">
        <f>COUNTIFS('Screen Tracker'!$C$7:$C$302,$A33,'Screen Tracker'!$X$7:$X$302,"Yes")</f>
        <v/>
      </c>
      <c r="H33" s="17">
        <f>COUNTIFS('Screen Tracker'!$C$7:$C$302,$A33,'Screen Tracker'!$W$7:$W$302,"Released")</f>
        <v/>
      </c>
      <c r="I33" s="17">
        <f>COUNTIFS('Screen Tracker'!$C$7:$C$302,$A33,'Screen Tracker'!$W$7:$W$302,"Blocked")</f>
        <v/>
      </c>
      <c r="J33" s="17">
        <f>COUNTIFS('Screen Tracker'!$C$7:$C$302,$A33,'Screen Tracker'!$Y$7:$Y$302,"Overdue")</f>
        <v/>
      </c>
    </row>
    <row r="34" ht="29" customHeight="1">
      <c r="A34" s="5" t="inlineStr">
        <is>
          <t>Visitor / Gate / Security</t>
        </is>
      </c>
      <c r="B34" s="18">
        <f>COUNTIFS('Screen Tracker'!$C$7:$C$302,$A34)</f>
        <v/>
      </c>
      <c r="C34" s="18">
        <f>COUNTIFS('Screen Tracker'!$C$7:$C$302,$A34,'Screen Tracker'!$J$7:$J$302,"Done")</f>
        <v/>
      </c>
      <c r="D34" s="18">
        <f>COUNTIFS('Screen Tracker'!$C$7:$C$302,$A34,'Screen Tracker'!$K$7:$K$302,"Done")+COUNTIFS('Screen Tracker'!$C$7:$C$302,$A34,'Screen Tracker'!$K$7:$K$302,"Not required",'Screen Tracker'!$V$7:$V$302,"&lt;&gt;")</f>
        <v/>
      </c>
      <c r="E34" s="18">
        <f>COUNTIFS('Screen Tracker'!$C$7:$C$302,$A34,'Screen Tracker'!$L$7:$L$302,"Done")+COUNTIFS('Screen Tracker'!$C$7:$C$302,$A34,'Screen Tracker'!$L$7:$L$302,"Not required",'Screen Tracker'!$V$7:$V$302,"&lt;&gt;")</f>
        <v/>
      </c>
      <c r="F34" s="18">
        <f>COUNTIFS('Screen Tracker'!$C$7:$C$302,$A34,'Screen Tracker'!$M$7:$M$302,"Passed")</f>
        <v/>
      </c>
      <c r="G34" s="18">
        <f>COUNTIFS('Screen Tracker'!$C$7:$C$302,$A34,'Screen Tracker'!$X$7:$X$302,"Yes")</f>
        <v/>
      </c>
      <c r="H34" s="18">
        <f>COUNTIFS('Screen Tracker'!$C$7:$C$302,$A34,'Screen Tracker'!$W$7:$W$302,"Released")</f>
        <v/>
      </c>
      <c r="I34" s="18">
        <f>COUNTIFS('Screen Tracker'!$C$7:$C$302,$A34,'Screen Tracker'!$W$7:$W$302,"Blocked")</f>
        <v/>
      </c>
      <c r="J34" s="18">
        <f>COUNTIFS('Screen Tracker'!$C$7:$C$302,$A34,'Screen Tracker'!$Y$7:$Y$302,"Overdue")</f>
        <v/>
      </c>
    </row>
    <row r="35" ht="29" customHeight="1">
      <c r="A35" s="16" t="inlineStr">
        <is>
          <t>Inventory / Assets / Labs</t>
        </is>
      </c>
      <c r="B35" s="17">
        <f>COUNTIFS('Screen Tracker'!$C$7:$C$302,$A35)</f>
        <v/>
      </c>
      <c r="C35" s="17">
        <f>COUNTIFS('Screen Tracker'!$C$7:$C$302,$A35,'Screen Tracker'!$J$7:$J$302,"Done")</f>
        <v/>
      </c>
      <c r="D35" s="17">
        <f>COUNTIFS('Screen Tracker'!$C$7:$C$302,$A35,'Screen Tracker'!$K$7:$K$302,"Done")+COUNTIFS('Screen Tracker'!$C$7:$C$302,$A35,'Screen Tracker'!$K$7:$K$302,"Not required",'Screen Tracker'!$V$7:$V$302,"&lt;&gt;")</f>
        <v/>
      </c>
      <c r="E35" s="17">
        <f>COUNTIFS('Screen Tracker'!$C$7:$C$302,$A35,'Screen Tracker'!$L$7:$L$302,"Done")+COUNTIFS('Screen Tracker'!$C$7:$C$302,$A35,'Screen Tracker'!$L$7:$L$302,"Not required",'Screen Tracker'!$V$7:$V$302,"&lt;&gt;")</f>
        <v/>
      </c>
      <c r="F35" s="17">
        <f>COUNTIFS('Screen Tracker'!$C$7:$C$302,$A35,'Screen Tracker'!$M$7:$M$302,"Passed")</f>
        <v/>
      </c>
      <c r="G35" s="17">
        <f>COUNTIFS('Screen Tracker'!$C$7:$C$302,$A35,'Screen Tracker'!$X$7:$X$302,"Yes")</f>
        <v/>
      </c>
      <c r="H35" s="17">
        <f>COUNTIFS('Screen Tracker'!$C$7:$C$302,$A35,'Screen Tracker'!$W$7:$W$302,"Released")</f>
        <v/>
      </c>
      <c r="I35" s="17">
        <f>COUNTIFS('Screen Tracker'!$C$7:$C$302,$A35,'Screen Tracker'!$W$7:$W$302,"Blocked")</f>
        <v/>
      </c>
      <c r="J35" s="17">
        <f>COUNTIFS('Screen Tracker'!$C$7:$C$302,$A35,'Screen Tracker'!$Y$7:$Y$302,"Overdue")</f>
        <v/>
      </c>
    </row>
    <row r="36" ht="29" customHeight="1">
      <c r="A36" s="5" t="inlineStr">
        <is>
          <t>Events / PTM / Communication</t>
        </is>
      </c>
      <c r="B36" s="18">
        <f>COUNTIFS('Screen Tracker'!$C$7:$C$302,$A36)</f>
        <v/>
      </c>
      <c r="C36" s="18">
        <f>COUNTIFS('Screen Tracker'!$C$7:$C$302,$A36,'Screen Tracker'!$J$7:$J$302,"Done")</f>
        <v/>
      </c>
      <c r="D36" s="18">
        <f>COUNTIFS('Screen Tracker'!$C$7:$C$302,$A36,'Screen Tracker'!$K$7:$K$302,"Done")+COUNTIFS('Screen Tracker'!$C$7:$C$302,$A36,'Screen Tracker'!$K$7:$K$302,"Not required",'Screen Tracker'!$V$7:$V$302,"&lt;&gt;")</f>
        <v/>
      </c>
      <c r="E36" s="18">
        <f>COUNTIFS('Screen Tracker'!$C$7:$C$302,$A36,'Screen Tracker'!$L$7:$L$302,"Done")+COUNTIFS('Screen Tracker'!$C$7:$C$302,$A36,'Screen Tracker'!$L$7:$L$302,"Not required",'Screen Tracker'!$V$7:$V$302,"&lt;&gt;")</f>
        <v/>
      </c>
      <c r="F36" s="18">
        <f>COUNTIFS('Screen Tracker'!$C$7:$C$302,$A36,'Screen Tracker'!$M$7:$M$302,"Passed")</f>
        <v/>
      </c>
      <c r="G36" s="18">
        <f>COUNTIFS('Screen Tracker'!$C$7:$C$302,$A36,'Screen Tracker'!$X$7:$X$302,"Yes")</f>
        <v/>
      </c>
      <c r="H36" s="18">
        <f>COUNTIFS('Screen Tracker'!$C$7:$C$302,$A36,'Screen Tracker'!$W$7:$W$302,"Released")</f>
        <v/>
      </c>
      <c r="I36" s="18">
        <f>COUNTIFS('Screen Tracker'!$C$7:$C$302,$A36,'Screen Tracker'!$W$7:$W$302,"Blocked")</f>
        <v/>
      </c>
      <c r="J36" s="18">
        <f>COUNTIFS('Screen Tracker'!$C$7:$C$302,$A36,'Screen Tracker'!$Y$7:$Y$302,"Overdue")</f>
        <v/>
      </c>
    </row>
    <row r="37" ht="29" customHeight="1">
      <c r="A37" s="16" t="inlineStr">
        <is>
          <t>Documents &amp; Certificates</t>
        </is>
      </c>
      <c r="B37" s="17">
        <f>COUNTIFS('Screen Tracker'!$C$7:$C$302,$A37)</f>
        <v/>
      </c>
      <c r="C37" s="17">
        <f>COUNTIFS('Screen Tracker'!$C$7:$C$302,$A37,'Screen Tracker'!$J$7:$J$302,"Done")</f>
        <v/>
      </c>
      <c r="D37" s="17">
        <f>COUNTIFS('Screen Tracker'!$C$7:$C$302,$A37,'Screen Tracker'!$K$7:$K$302,"Done")+COUNTIFS('Screen Tracker'!$C$7:$C$302,$A37,'Screen Tracker'!$K$7:$K$302,"Not required",'Screen Tracker'!$V$7:$V$302,"&lt;&gt;")</f>
        <v/>
      </c>
      <c r="E37" s="17">
        <f>COUNTIFS('Screen Tracker'!$C$7:$C$302,$A37,'Screen Tracker'!$L$7:$L$302,"Done")+COUNTIFS('Screen Tracker'!$C$7:$C$302,$A37,'Screen Tracker'!$L$7:$L$302,"Not required",'Screen Tracker'!$V$7:$V$302,"&lt;&gt;")</f>
        <v/>
      </c>
      <c r="F37" s="17">
        <f>COUNTIFS('Screen Tracker'!$C$7:$C$302,$A37,'Screen Tracker'!$M$7:$M$302,"Passed")</f>
        <v/>
      </c>
      <c r="G37" s="17">
        <f>COUNTIFS('Screen Tracker'!$C$7:$C$302,$A37,'Screen Tracker'!$X$7:$X$302,"Yes")</f>
        <v/>
      </c>
      <c r="H37" s="17">
        <f>COUNTIFS('Screen Tracker'!$C$7:$C$302,$A37,'Screen Tracker'!$W$7:$W$302,"Released")</f>
        <v/>
      </c>
      <c r="I37" s="17">
        <f>COUNTIFS('Screen Tracker'!$C$7:$C$302,$A37,'Screen Tracker'!$W$7:$W$302,"Blocked")</f>
        <v/>
      </c>
      <c r="J37" s="17">
        <f>COUNTIFS('Screen Tracker'!$C$7:$C$302,$A37,'Screen Tracker'!$Y$7:$Y$302,"Overdue")</f>
        <v/>
      </c>
    </row>
    <row r="38" ht="29" customHeight="1">
      <c r="A38" s="5" t="inlineStr">
        <is>
          <t>Reports &amp; Analytics</t>
        </is>
      </c>
      <c r="B38" s="18">
        <f>COUNTIFS('Screen Tracker'!$C$7:$C$302,$A38)</f>
        <v/>
      </c>
      <c r="C38" s="18">
        <f>COUNTIFS('Screen Tracker'!$C$7:$C$302,$A38,'Screen Tracker'!$J$7:$J$302,"Done")</f>
        <v/>
      </c>
      <c r="D38" s="18">
        <f>COUNTIFS('Screen Tracker'!$C$7:$C$302,$A38,'Screen Tracker'!$K$7:$K$302,"Done")+COUNTIFS('Screen Tracker'!$C$7:$C$302,$A38,'Screen Tracker'!$K$7:$K$302,"Not required",'Screen Tracker'!$V$7:$V$302,"&lt;&gt;")</f>
        <v/>
      </c>
      <c r="E38" s="18">
        <f>COUNTIFS('Screen Tracker'!$C$7:$C$302,$A38,'Screen Tracker'!$L$7:$L$302,"Done")+COUNTIFS('Screen Tracker'!$C$7:$C$302,$A38,'Screen Tracker'!$L$7:$L$302,"Not required",'Screen Tracker'!$V$7:$V$302,"&lt;&gt;")</f>
        <v/>
      </c>
      <c r="F38" s="18">
        <f>COUNTIFS('Screen Tracker'!$C$7:$C$302,$A38,'Screen Tracker'!$M$7:$M$302,"Passed")</f>
        <v/>
      </c>
      <c r="G38" s="18">
        <f>COUNTIFS('Screen Tracker'!$C$7:$C$302,$A38,'Screen Tracker'!$X$7:$X$302,"Yes")</f>
        <v/>
      </c>
      <c r="H38" s="18">
        <f>COUNTIFS('Screen Tracker'!$C$7:$C$302,$A38,'Screen Tracker'!$W$7:$W$302,"Released")</f>
        <v/>
      </c>
      <c r="I38" s="18">
        <f>COUNTIFS('Screen Tracker'!$C$7:$C$302,$A38,'Screen Tracker'!$W$7:$W$302,"Blocked")</f>
        <v/>
      </c>
      <c r="J38" s="18">
        <f>COUNTIFS('Screen Tracker'!$C$7:$C$302,$A38,'Screen Tracker'!$Y$7:$Y$302,"Overdue")</f>
        <v/>
      </c>
    </row>
    <row r="39" ht="29" customHeight="1">
      <c r="A39" s="16" t="inlineStr">
        <is>
          <t>Settings / Roles / Permissions / Audit</t>
        </is>
      </c>
      <c r="B39" s="17">
        <f>COUNTIFS('Screen Tracker'!$C$7:$C$302,$A39)</f>
        <v/>
      </c>
      <c r="C39" s="17">
        <f>COUNTIFS('Screen Tracker'!$C$7:$C$302,$A39,'Screen Tracker'!$J$7:$J$302,"Done")</f>
        <v/>
      </c>
      <c r="D39" s="17">
        <f>COUNTIFS('Screen Tracker'!$C$7:$C$302,$A39,'Screen Tracker'!$K$7:$K$302,"Done")+COUNTIFS('Screen Tracker'!$C$7:$C$302,$A39,'Screen Tracker'!$K$7:$K$302,"Not required",'Screen Tracker'!$V$7:$V$302,"&lt;&gt;")</f>
        <v/>
      </c>
      <c r="E39" s="17">
        <f>COUNTIFS('Screen Tracker'!$C$7:$C$302,$A39,'Screen Tracker'!$L$7:$L$302,"Done")+COUNTIFS('Screen Tracker'!$C$7:$C$302,$A39,'Screen Tracker'!$L$7:$L$302,"Not required",'Screen Tracker'!$V$7:$V$302,"&lt;&gt;")</f>
        <v/>
      </c>
      <c r="F39" s="17">
        <f>COUNTIFS('Screen Tracker'!$C$7:$C$302,$A39,'Screen Tracker'!$M$7:$M$302,"Passed")</f>
        <v/>
      </c>
      <c r="G39" s="17">
        <f>COUNTIFS('Screen Tracker'!$C$7:$C$302,$A39,'Screen Tracker'!$X$7:$X$302,"Yes")</f>
        <v/>
      </c>
      <c r="H39" s="17">
        <f>COUNTIFS('Screen Tracker'!$C$7:$C$302,$A39,'Screen Tracker'!$W$7:$W$302,"Released")</f>
        <v/>
      </c>
      <c r="I39" s="17">
        <f>COUNTIFS('Screen Tracker'!$C$7:$C$302,$A39,'Screen Tracker'!$W$7:$W$302,"Blocked")</f>
        <v/>
      </c>
      <c r="J39" s="17">
        <f>COUNTIFS('Screen Tracker'!$C$7:$C$302,$A39,'Screen Tracker'!$Y$7:$Y$302,"Overdue")</f>
        <v/>
      </c>
    </row>
    <row r="40" ht="22" customHeight="1">
      <c r="A40" s="21" t="inlineStr">
        <is>
          <t>Total</t>
        </is>
      </c>
      <c r="B40" s="22">
        <f>SUM(B15:B39)</f>
        <v/>
      </c>
      <c r="C40" s="22">
        <f>SUM(C15:C39)</f>
        <v/>
      </c>
      <c r="D40" s="22">
        <f>SUM(D15:D39)</f>
        <v/>
      </c>
      <c r="E40" s="22">
        <f>SUM(E15:E39)</f>
        <v/>
      </c>
      <c r="F40" s="22">
        <f>SUM(F15:F39)</f>
        <v/>
      </c>
      <c r="G40" s="22">
        <f>SUM(G15:G39)</f>
        <v/>
      </c>
      <c r="H40" s="22">
        <f>SUM(H15:H39)</f>
        <v/>
      </c>
      <c r="I40" s="22">
        <f>SUM(I15:I39)</f>
        <v/>
      </c>
      <c r="J40" s="22">
        <f>SUM(J15:J39)</f>
        <v/>
      </c>
    </row>
    <row r="41" ht="2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2" customHeight="1">
      <c r="A42" s="6" t="inlineStr">
        <is>
          <t>API resolved / Integrated includes “Not required” only when a reason is recorded. Stages are counted independently.</t>
        </is>
      </c>
    </row>
    <row r="43" ht="22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2" customHeight="1">
      <c r="A44" s="10" t="inlineStr">
        <is>
          <t>Progress by release scope</t>
        </is>
      </c>
      <c r="B44" s="10" t="n"/>
      <c r="C44" s="10" t="n"/>
      <c r="D44" s="10" t="n"/>
      <c r="E44" s="2" t="n"/>
      <c r="F44" s="10" t="inlineStr">
        <is>
          <t>Update routine</t>
        </is>
      </c>
      <c r="G44" s="10" t="n"/>
      <c r="H44" s="10" t="n"/>
      <c r="I44" s="10" t="n"/>
      <c r="J44" s="10" t="n"/>
    </row>
    <row r="45" ht="33" customHeight="1">
      <c r="A45" s="14" t="inlineStr">
        <is>
          <t>Release scope</t>
        </is>
      </c>
      <c r="B45" s="14" t="inlineStr">
        <is>
          <t>Screens</t>
        </is>
      </c>
      <c r="C45" s="14" t="inlineStr">
        <is>
          <t>Dev verified</t>
        </is>
      </c>
      <c r="D45" s="14" t="inlineStr">
        <is>
          <t>Released</t>
        </is>
      </c>
      <c r="E45" s="2" t="n"/>
      <c r="F45" s="6" t="inlineStr">
        <is>
          <t>1. Start with the MVP scope. Assess each screen, assign one accountable owner, sprint and due date.</t>
        </is>
      </c>
    </row>
    <row r="46" ht="22" customHeight="1">
      <c r="A46" s="2" t="inlineStr">
        <is>
          <t>MVP</t>
        </is>
      </c>
      <c r="B46" s="2">
        <f>COUNTIFS('Screen Tracker'!$D$7:$D$302,A46)</f>
        <v/>
      </c>
      <c r="C46" s="2">
        <f>COUNTIFS('Screen Tracker'!$D$7:$D$302,A46,'Screen Tracker'!$X$7:$X$302,"Yes")</f>
        <v/>
      </c>
      <c r="D46" s="2">
        <f>COUNTIFS('Screen Tracker'!$D$7:$D$302,A46,'Screen Tracker'!$W$7:$W$302,"Released")</f>
        <v/>
      </c>
      <c r="E46" s="2" t="n"/>
    </row>
    <row r="47" ht="22" customHeight="1">
      <c r="A47" s="2" t="inlineStr">
        <is>
          <t>Phase 2</t>
        </is>
      </c>
      <c r="B47" s="2">
        <f>COUNTIFS('Screen Tracker'!$D$7:$D$302,A47)</f>
        <v/>
      </c>
      <c r="C47" s="2">
        <f>COUNTIFS('Screen Tracker'!$D$7:$D$302,A47,'Screen Tracker'!$X$7:$X$302,"Yes")</f>
        <v/>
      </c>
      <c r="D47" s="2">
        <f>COUNTIFS('Screen Tracker'!$D$7:$D$302,A47,'Screen Tracker'!$W$7:$W$302,"Released")</f>
        <v/>
      </c>
      <c r="E47" s="2" t="n"/>
      <c r="F47" s="6" t="inlineStr">
        <is>
          <t>2. Update stages, blockers, next action and last updated each day. Use the SCR ID in tasks and PRs.</t>
        </is>
      </c>
    </row>
    <row r="48" ht="22" customHeight="1">
      <c r="A48" s="2" t="inlineStr">
        <is>
          <t>Phase 3</t>
        </is>
      </c>
      <c r="B48" s="2">
        <f>COUNTIFS('Screen Tracker'!$D$7:$D$302,A48)</f>
        <v/>
      </c>
      <c r="C48" s="2">
        <f>COUNTIFS('Screen Tracker'!$D$7:$D$302,A48,'Screen Tracker'!$X$7:$X$302,"Yes")</f>
        <v/>
      </c>
      <c r="D48" s="2">
        <f>COUNTIFS('Screen Tracker'!$D$7:$D$302,A48,'Screen Tracker'!$W$7:$W$302,"Released")</f>
        <v/>
      </c>
      <c r="E48" s="2" t="n"/>
    </row>
    <row r="49" ht="22" customHeight="1">
      <c r="A49" s="2" t="n"/>
      <c r="B49" s="2" t="n"/>
      <c r="C49" s="2" t="n"/>
      <c r="D49" s="2" t="n"/>
      <c r="E49" s="2" t="n"/>
      <c r="F49" s="6" t="inlineStr">
        <is>
          <t>3. QA records test evidence and open critical/high defects. The product owner records acceptance.</t>
        </is>
      </c>
    </row>
    <row r="50" ht="22" customHeight="1">
      <c r="A50" s="10" t="inlineStr">
        <is>
          <t>When development counts as verified</t>
        </is>
      </c>
      <c r="B50" s="10" t="n"/>
      <c r="C50" s="10" t="n"/>
      <c r="D50" s="10" t="n"/>
      <c r="E50" s="10" t="n"/>
    </row>
    <row r="51" ht="22" customHeight="1">
      <c r="A51" s="6" t="inlineStr">
        <is>
          <t>Frontend done, API and integration done or justified as not required, QA passed, acceptance accepted, zero open critical/high bugs and no blocker.</t>
        </is>
      </c>
      <c r="E51" s="2" t="n"/>
      <c r="F51" s="6" t="inlineStr">
        <is>
          <t>4. Review blockers and overdue work daily. Review module delivery and the next sprint weekly.</t>
        </is>
      </c>
    </row>
    <row r="52" ht="22" customHeight="1">
      <c r="E52" s="2" t="n"/>
    </row>
    <row r="53" ht="22" customHeight="1">
      <c r="E53" s="2" t="n"/>
      <c r="F53" s="6" t="inlineStr">
        <is>
          <t>5. Keep Shared Work current for services used by many screens. Record deployment after release.</t>
        </is>
      </c>
    </row>
    <row r="54" ht="22" customHeight="1">
      <c r="A54" s="6" t="inlineStr">
        <is>
          <t>Owner, work item / PR, QA evidence and last updated must also be recorded. A production deployment counts as released only when this gate passes.</t>
        </is>
      </c>
      <c r="E54" s="2" t="n"/>
    </row>
    <row r="55" ht="22" customHeight="1">
      <c r="E55" s="2" t="n"/>
      <c r="F55" s="2" t="n"/>
      <c r="G55" s="2" t="n"/>
      <c r="H55" s="2" t="n"/>
      <c r="I55" s="2" t="n"/>
      <c r="J55" s="2" t="n"/>
    </row>
    <row r="56" ht="22" customHeight="1">
      <c r="E56" s="2" t="n"/>
      <c r="F56" s="2" t="n"/>
      <c r="G56" s="2" t="n"/>
      <c r="H56" s="2" t="n"/>
      <c r="I56" s="2" t="n"/>
      <c r="J56" s="2" t="n"/>
    </row>
    <row r="57" ht="2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2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2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2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</sheetData>
  <mergeCells count="21">
    <mergeCell ref="F51:J52"/>
    <mergeCell ref="D10:E10"/>
    <mergeCell ref="F47:J48"/>
    <mergeCell ref="A3:F3"/>
    <mergeCell ref="D6:E6"/>
    <mergeCell ref="H7:J10"/>
    <mergeCell ref="F49:J50"/>
    <mergeCell ref="I3:J3"/>
    <mergeCell ref="D7:E7"/>
    <mergeCell ref="F45:J46"/>
    <mergeCell ref="A51:D53"/>
    <mergeCell ref="D4:E4"/>
    <mergeCell ref="A54:D56"/>
    <mergeCell ref="F53:J54"/>
    <mergeCell ref="D9:E9"/>
    <mergeCell ref="D8:E8"/>
    <mergeCell ref="H4:J6"/>
    <mergeCell ref="D5:E5"/>
    <mergeCell ref="A12:J12"/>
    <mergeCell ref="A2:J2"/>
    <mergeCell ref="A42:J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63CF"/>
    <outlinePr summaryBelow="1" summaryRight="1"/>
    <pageSetUpPr/>
  </sheetPr>
  <dimension ref="A1:AB302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1.10999965667725" customWidth="1" min="1" max="1"/>
    <col width="30.55999946594238" customWidth="1" min="2" max="2"/>
    <col width="31.11000061035156" customWidth="1" min="3" max="3"/>
    <col width="11.67000007629395" customWidth="1" min="4" max="4"/>
    <col width="18.88999938964844" customWidth="1" min="5" max="5"/>
    <col width="17.21999931335449" customWidth="1" min="6" max="6"/>
    <col width="12.77999973297119" customWidth="1" min="7" max="7"/>
    <col width="12.5600004196167" customWidth="1" min="8" max="8"/>
    <col width="11.10999965667725" customWidth="1" min="9" max="9"/>
    <col width="14.4399995803833" customWidth="1" min="10" max="10"/>
    <col width="15" customWidth="1" min="11" max="11"/>
    <col width="15" customWidth="1" min="12" max="12"/>
    <col width="13.89000034332275" customWidth="1" min="13" max="13"/>
    <col width="15" customWidth="1" min="14" max="14"/>
    <col width="13.32999992370605" customWidth="1" min="15" max="15"/>
    <col width="15" customWidth="1" min="16" max="16"/>
    <col width="27.21999931335449" customWidth="1" min="17" max="17"/>
    <col width="28.88999938964844" customWidth="1" min="18" max="18"/>
    <col width="27.21999931335449" customWidth="1" min="19" max="19"/>
    <col width="27.21999931335449" customWidth="1" min="20" max="20"/>
    <col width="12.5600004196167" customWidth="1" min="21" max="21"/>
    <col width="26.67000007629395" customWidth="1" min="22" max="22"/>
    <col width="18.88999938964844" customWidth="1" min="23" max="23"/>
    <col width="12.22000026702881" customWidth="1" min="24" max="24"/>
    <col width="14.4399995803833" customWidth="1" min="25" max="25"/>
    <col width="12.22000026702881" customWidth="1" min="26" max="26"/>
    <col width="25.55999946594238" customWidth="1" min="27" max="27"/>
    <col width="46" customWidth="1" min="28" max="28"/>
  </cols>
  <sheetData>
    <row r="1" ht="9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27" customHeight="1">
      <c r="A2" s="4" t="inlineStr">
        <is>
          <t>Screen development tracker</t>
        </is>
      </c>
      <c r="B2" s="28" t="n"/>
      <c r="C2" s="28" t="n"/>
      <c r="D2" s="28" t="n"/>
      <c r="E2" s="28" t="n"/>
      <c r="F2" s="28" t="n"/>
      <c r="G2" s="28" t="n"/>
      <c r="H2" s="28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22" customHeight="1">
      <c r="A3" s="6" t="inlineStr">
        <is>
          <t>Amber cells are editable. Keep one row per SCR ID. Scroll right for evidence, calculated state and schedule.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22" customHeight="1">
      <c r="A4" s="6" t="inlineStr">
        <is>
          <t>Source: School_ERP_296_Mock_Screens_Source.zip, 296-screen registry. Mockup baseline: School_ERP_296_Bright_Screens.zip.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40" customHeight="1">
      <c r="A6" s="14" t="inlineStr">
        <is>
          <t>Screen ID</t>
        </is>
      </c>
      <c r="B6" s="14" t="inlineStr">
        <is>
          <t>Screen name</t>
        </is>
      </c>
      <c r="C6" s="14" t="inlineStr">
        <is>
          <t>Module</t>
        </is>
      </c>
      <c r="D6" s="14" t="inlineStr">
        <is>
          <t>Release scope</t>
        </is>
      </c>
      <c r="E6" s="14" t="inlineStr">
        <is>
          <t>Story IDs</t>
        </is>
      </c>
      <c r="F6" s="14" t="inlineStr">
        <is>
          <t>Owner</t>
        </is>
      </c>
      <c r="G6" s="14" t="inlineStr">
        <is>
          <t>Sprint</t>
        </is>
      </c>
      <c r="H6" s="14" t="inlineStr">
        <is>
          <t>Due date</t>
        </is>
      </c>
      <c r="I6" s="14" t="inlineStr">
        <is>
          <t>Mockup</t>
        </is>
      </c>
      <c r="J6" s="14" t="inlineStr">
        <is>
          <t>Frontend</t>
        </is>
      </c>
      <c r="K6" s="14" t="inlineStr">
        <is>
          <t>API / DB</t>
        </is>
      </c>
      <c r="L6" s="14" t="inlineStr">
        <is>
          <t>Integration</t>
        </is>
      </c>
      <c r="M6" s="14" t="inlineStr">
        <is>
          <t>QA</t>
        </is>
      </c>
      <c r="N6" s="14" t="inlineStr">
        <is>
          <t>Acceptance</t>
        </is>
      </c>
      <c r="O6" s="14" t="inlineStr">
        <is>
          <t>Open critical / high bugs</t>
        </is>
      </c>
      <c r="P6" s="14" t="inlineStr">
        <is>
          <t>Deployment</t>
        </is>
      </c>
      <c r="Q6" s="14" t="inlineStr">
        <is>
          <t>Blocker / dependency</t>
        </is>
      </c>
      <c r="R6" s="14" t="inlineStr">
        <is>
          <t>Next action</t>
        </is>
      </c>
      <c r="S6" s="14" t="inlineStr">
        <is>
          <t>Work item / PR link</t>
        </is>
      </c>
      <c r="T6" s="14" t="inlineStr">
        <is>
          <t>QA evidence link</t>
        </is>
      </c>
      <c r="U6" s="14" t="inlineStr">
        <is>
          <t>Last updated</t>
        </is>
      </c>
      <c r="V6" s="14" t="inlineStr">
        <is>
          <t>Not required reason</t>
        </is>
      </c>
      <c r="W6" s="14" t="inlineStr">
        <is>
          <t>State (calculated)</t>
        </is>
      </c>
      <c r="X6" s="14" t="inlineStr">
        <is>
          <t>Dev verified</t>
        </is>
      </c>
      <c r="Y6" s="14" t="inlineStr">
        <is>
          <t>Schedule (calculated)</t>
        </is>
      </c>
      <c r="Z6" s="14" t="inlineStr">
        <is>
          <t>Days overdue</t>
        </is>
      </c>
      <c r="AA6" s="14" t="inlineStr">
        <is>
          <t>Roles</t>
        </is>
      </c>
      <c r="AB6" s="31" t="inlineStr">
        <is>
          <t>Implemented at (audit)</t>
        </is>
      </c>
    </row>
    <row r="7" ht="35" customHeight="1">
      <c r="A7" s="2" t="inlineStr">
        <is>
          <t>SCR-001</t>
        </is>
      </c>
      <c r="B7" s="5" t="inlineStr">
        <is>
          <t>Landing / Home</t>
        </is>
      </c>
      <c r="C7" s="5" t="inlineStr">
        <is>
          <t>Public Website &amp; Authentication</t>
        </is>
      </c>
      <c r="D7" s="2" t="inlineStr">
        <is>
          <t>MVP</t>
        </is>
      </c>
      <c r="E7" s="2" t="inlineStr">
        <is>
          <t>US-0001, US-0002</t>
        </is>
      </c>
      <c r="F7" s="24" t="n"/>
      <c r="G7" s="24" t="n"/>
      <c r="H7" s="32" t="n"/>
      <c r="I7" s="2" t="inlineStr">
        <is>
          <t>Ready</t>
        </is>
      </c>
      <c r="J7" s="33" t="inlineStr">
        <is>
          <t>Done</t>
        </is>
      </c>
      <c r="K7" s="34" t="inlineStr">
        <is>
          <t>Not required</t>
        </is>
      </c>
      <c r="L7" s="24" t="inlineStr">
        <is>
          <t>Not assessed</t>
        </is>
      </c>
      <c r="M7" s="24" t="inlineStr">
        <is>
          <t>Not assessed</t>
        </is>
      </c>
      <c r="N7" s="24" t="inlineStr">
        <is>
          <t>Not assessed</t>
        </is>
      </c>
      <c r="O7" s="35" t="n"/>
      <c r="P7" s="24" t="inlineStr">
        <is>
          <t>Not scheduled</t>
        </is>
      </c>
      <c r="Q7" s="24" t="n"/>
      <c r="R7" s="24" t="inlineStr">
        <is>
          <t>Hero, feature cards, portal links, health badge</t>
        </is>
      </c>
      <c r="S7" s="24" t="n"/>
      <c r="T7" s="24" t="n"/>
      <c r="U7" s="36" t="n">
        <v>46285</v>
      </c>
      <c r="V7" s="24" t="inlineStr">
        <is>
          <t>Hero, feature cards, portal links, health badge</t>
        </is>
      </c>
      <c r="W7" s="15">
        <f>IF(P7="Production",IF(X7="Yes","Released","Review release"),IF(P7="Rolled back","Rolled back",IF(OR(Q7&lt;&gt;"",COUNTIFS(J7:N7,"Blocked")&gt;0),"Blocked",IF(OR(M7="Failed",N7="Rejected",AND(ISNUMBER(O7),O7&gt;0)),"Rework",IF(X7="Yes","Ready for release",IF(N7="Accepted","Verify completion",IF(OR(M7="Passed",M7="In progress",N7="In review"),"Testing / review",IF(OR(COUNTIFS(J7:L7,"In progress")&gt;0,COUNTIFS(J7:L7,"In review")&gt;0,COUNTIFS(J7:L7,"Done")&gt;0),"In progress",IF(COUNTIFS(J7:N7,"Not assessed")=5,"Not assessed","Planned")))))))))</f>
        <v/>
      </c>
      <c r="X7" s="15">
        <f>IF(AND(J7="Done",OR(K7="Done",K7="Not required"),OR(L7="Done",L7="Not required"),M7="Passed",N7="Accepted",ISNUMBER(O7),O7=0,Q7="",F7&lt;&gt;"",S7&lt;&gt;"",T7&lt;&gt;"",ISNUMBER(U7),OR(AND(K7&lt;&gt;"Not required",L7&lt;&gt;"Not required"),V7&lt;&gt;""),P7&lt;&gt;"Rolled back"),"Yes","No")</f>
        <v/>
      </c>
      <c r="Y7" s="15">
        <f>IF(X7="Yes","Completed",IF(H7="","No deadline",IF(NOT(ISNUMBER(H7)),"Check date",IF(H7&lt;Overview!$I$3,"Overdue",IF(H7&lt;=Overview!$I$3+7,"Due soon","On track")))))</f>
        <v/>
      </c>
      <c r="Z7" s="37">
        <f>IF(AND(X7&lt;&gt;"Yes",ISNUMBER(H7)),MAX(0,Overview!$I$3-H7),0)</f>
        <v/>
      </c>
      <c r="AA7" s="5" t="inlineStr">
        <is>
          <t>All Users</t>
        </is>
      </c>
      <c r="AB7" t="inlineStr">
        <is>
          <t>/</t>
        </is>
      </c>
    </row>
    <row r="8" ht="35" customHeight="1">
      <c r="A8" s="2" t="inlineStr">
        <is>
          <t>SCR-002</t>
        </is>
      </c>
      <c r="B8" s="5" t="inlineStr">
        <is>
          <t>Workspace / Role Selection</t>
        </is>
      </c>
      <c r="C8" s="5" t="inlineStr">
        <is>
          <t>Public Website &amp; Authentication</t>
        </is>
      </c>
      <c r="D8" s="2" t="inlineStr">
        <is>
          <t>MVP</t>
        </is>
      </c>
      <c r="E8" s="2" t="inlineStr">
        <is>
          <t>US-0003, US-0004</t>
        </is>
      </c>
      <c r="F8" s="24" t="n"/>
      <c r="G8" s="24" t="n"/>
      <c r="H8" s="32" t="n"/>
      <c r="I8" s="2" t="inlineStr">
        <is>
          <t>Ready</t>
        </is>
      </c>
      <c r="J8" s="33" t="inlineStr">
        <is>
          <t>Done</t>
        </is>
      </c>
      <c r="K8" s="34" t="inlineStr">
        <is>
          <t>Not required</t>
        </is>
      </c>
      <c r="L8" s="24" t="inlineStr">
        <is>
          <t>Not assessed</t>
        </is>
      </c>
      <c r="M8" s="24" t="inlineStr">
        <is>
          <t>Not assessed</t>
        </is>
      </c>
      <c r="N8" s="24" t="inlineStr">
        <is>
          <t>Not assessed</t>
        </is>
      </c>
      <c r="O8" s="35" t="n"/>
      <c r="P8" s="24" t="inlineStr">
        <is>
          <t>Not scheduled</t>
        </is>
      </c>
      <c r="Q8" s="24" t="n"/>
      <c r="R8" s="24" t="inlineStr">
        <is>
          <t>Every portal, with a line on picking the right one</t>
        </is>
      </c>
      <c r="S8" s="24" t="n"/>
      <c r="T8" s="24" t="n"/>
      <c r="U8" s="36" t="n">
        <v>46285</v>
      </c>
      <c r="V8" s="24" t="inlineStr">
        <is>
          <t>Every portal, with a line on picking the right one</t>
        </is>
      </c>
      <c r="W8" s="15">
        <f>IF(P8="Production",IF(X8="Yes","Released","Review release"),IF(P8="Rolled back","Rolled back",IF(OR(Q8&lt;&gt;"",COUNTIFS(J8:N8,"Blocked")&gt;0),"Blocked",IF(OR(M8="Failed",N8="Rejected",AND(ISNUMBER(O8),O8&gt;0)),"Rework",IF(X8="Yes","Ready for release",IF(N8="Accepted","Verify completion",IF(OR(M8="Passed",M8="In progress",N8="In review"),"Testing / review",IF(OR(COUNTIFS(J8:L8,"In progress")&gt;0,COUNTIFS(J8:L8,"In review")&gt;0,COUNTIFS(J8:L8,"Done")&gt;0),"In progress",IF(COUNTIFS(J8:N8,"Not assessed")=5,"Not assessed","Planned")))))))))</f>
        <v/>
      </c>
      <c r="X8" s="15">
        <f>IF(AND(J8="Done",OR(K8="Done",K8="Not required"),OR(L8="Done",L8="Not required"),M8="Passed",N8="Accepted",ISNUMBER(O8),O8=0,Q8="",F8&lt;&gt;"",S8&lt;&gt;"",T8&lt;&gt;"",ISNUMBER(U8),OR(AND(K8&lt;&gt;"Not required",L8&lt;&gt;"Not required"),V8&lt;&gt;""),P8&lt;&gt;"Rolled back"),"Yes","No")</f>
        <v/>
      </c>
      <c r="Y8" s="15">
        <f>IF(X8="Yes","Completed",IF(H8="","No deadline",IF(NOT(ISNUMBER(H8)),"Check date",IF(H8&lt;Overview!$I$3,"Overdue",IF(H8&lt;=Overview!$I$3+7,"Due soon","On track")))))</f>
        <v/>
      </c>
      <c r="Z8" s="37">
        <f>IF(AND(X8&lt;&gt;"Yes",ISNUMBER(H8)),MAX(0,Overview!$I$3-H8),0)</f>
        <v/>
      </c>
      <c r="AA8" s="5" t="inlineStr">
        <is>
          <t>All Users</t>
        </is>
      </c>
      <c r="AB8" t="inlineStr">
        <is>
          <t>/workspace</t>
        </is>
      </c>
    </row>
    <row r="9" ht="35" customHeight="1">
      <c r="A9" s="2" t="inlineStr">
        <is>
          <t>SCR-003</t>
        </is>
      </c>
      <c r="B9" s="5" t="inlineStr">
        <is>
          <t>Sign In</t>
        </is>
      </c>
      <c r="C9" s="5" t="inlineStr">
        <is>
          <t>Public Website &amp; Authentication</t>
        </is>
      </c>
      <c r="D9" s="2" t="inlineStr">
        <is>
          <t>MVP</t>
        </is>
      </c>
      <c r="E9" s="2" t="inlineStr">
        <is>
          <t>US-0005, US-0006</t>
        </is>
      </c>
      <c r="F9" s="24" t="n"/>
      <c r="G9" s="24" t="n"/>
      <c r="H9" s="32" t="n"/>
      <c r="I9" s="2" t="inlineStr">
        <is>
          <t>Ready</t>
        </is>
      </c>
      <c r="J9" s="33" t="inlineStr">
        <is>
          <t>Done</t>
        </is>
      </c>
      <c r="K9" s="33" t="inlineStr">
        <is>
          <t>Done</t>
        </is>
      </c>
      <c r="L9" s="24" t="inlineStr">
        <is>
          <t>Not assessed</t>
        </is>
      </c>
      <c r="M9" s="24" t="inlineStr">
        <is>
          <t>Not assessed</t>
        </is>
      </c>
      <c r="N9" s="24" t="inlineStr">
        <is>
          <t>Not assessed</t>
        </is>
      </c>
      <c r="O9" s="35" t="n"/>
      <c r="P9" s="24" t="inlineStr">
        <is>
          <t>Not scheduled</t>
        </is>
      </c>
      <c r="Q9" s="24" t="n"/>
      <c r="R9" s="24" t="inlineStr">
        <is>
          <t>Seven sign-in pages, each posts auth/login</t>
        </is>
      </c>
      <c r="S9" s="24" t="n"/>
      <c r="T9" s="24" t="n"/>
      <c r="U9" s="36" t="n">
        <v>46285</v>
      </c>
      <c r="V9" s="24" t="n"/>
      <c r="W9" s="15">
        <f>IF(P9="Production",IF(X9="Yes","Released","Review release"),IF(P9="Rolled back","Rolled back",IF(OR(Q9&lt;&gt;"",COUNTIFS(J9:N9,"Blocked")&gt;0),"Blocked",IF(OR(M9="Failed",N9="Rejected",AND(ISNUMBER(O9),O9&gt;0)),"Rework",IF(X9="Yes","Ready for release",IF(N9="Accepted","Verify completion",IF(OR(M9="Passed",M9="In progress",N9="In review"),"Testing / review",IF(OR(COUNTIFS(J9:L9,"In progress")&gt;0,COUNTIFS(J9:L9,"In review")&gt;0,COUNTIFS(J9:L9,"Done")&gt;0),"In progress",IF(COUNTIFS(J9:N9,"Not assessed")=5,"Not assessed","Planned")))))))))</f>
        <v/>
      </c>
      <c r="X9" s="15">
        <f>IF(AND(J9="Done",OR(K9="Done",K9="Not required"),OR(L9="Done",L9="Not required"),M9="Passed",N9="Accepted",ISNUMBER(O9),O9=0,Q9="",F9&lt;&gt;"",S9&lt;&gt;"",T9&lt;&gt;"",ISNUMBER(U9),OR(AND(K9&lt;&gt;"Not required",L9&lt;&gt;"Not required"),V9&lt;&gt;""),P9&lt;&gt;"Rolled back"),"Yes","No")</f>
        <v/>
      </c>
      <c r="Y9" s="15">
        <f>IF(X9="Yes","Completed",IF(H9="","No deadline",IF(NOT(ISNUMBER(H9)),"Check date",IF(H9&lt;Overview!$I$3,"Overdue",IF(H9&lt;=Overview!$I$3+7,"Due soon","On track")))))</f>
        <v/>
      </c>
      <c r="Z9" s="37">
        <f>IF(AND(X9&lt;&gt;"Yes",ISNUMBER(H9)),MAX(0,Overview!$I$3-H9),0)</f>
        <v/>
      </c>
      <c r="AA9" s="5" t="inlineStr">
        <is>
          <t>All Users</t>
        </is>
      </c>
      <c r="AB9" t="inlineStr">
        <is>
          <t>/school/login and six other portals</t>
        </is>
      </c>
    </row>
    <row r="10" ht="35" customHeight="1">
      <c r="A10" s="2" t="inlineStr">
        <is>
          <t>SCR-004</t>
        </is>
      </c>
      <c r="B10" s="5" t="inlineStr">
        <is>
          <t>Forgot Password</t>
        </is>
      </c>
      <c r="C10" s="5" t="inlineStr">
        <is>
          <t>Public Website &amp; Authentication</t>
        </is>
      </c>
      <c r="D10" s="2" t="inlineStr">
        <is>
          <t>MVP</t>
        </is>
      </c>
      <c r="E10" s="2" t="inlineStr">
        <is>
          <t>US-0007, US-0008</t>
        </is>
      </c>
      <c r="F10" s="24" t="n"/>
      <c r="G10" s="24" t="n"/>
      <c r="H10" s="32" t="n"/>
      <c r="I10" s="2" t="inlineStr">
        <is>
          <t>Ready</t>
        </is>
      </c>
      <c r="J10" s="33" t="inlineStr">
        <is>
          <t>Done</t>
        </is>
      </c>
      <c r="K10" s="33" t="inlineStr">
        <is>
          <t>Done</t>
        </is>
      </c>
      <c r="L10" s="24" t="inlineStr">
        <is>
          <t>Not assessed</t>
        </is>
      </c>
      <c r="M10" s="24" t="inlineStr">
        <is>
          <t>Not assessed</t>
        </is>
      </c>
      <c r="N10" s="24" t="inlineStr">
        <is>
          <t>Not assessed</t>
        </is>
      </c>
      <c r="O10" s="35" t="n"/>
      <c r="P10" s="24" t="inlineStr">
        <is>
          <t>Not scheduled</t>
        </is>
      </c>
      <c r="Q10" s="24" t="n"/>
      <c r="R10" s="24" t="inlineStr">
        <is>
          <t>Same answer whether the account exists or not</t>
        </is>
      </c>
      <c r="S10" s="24" t="n"/>
      <c r="T10" s="24" t="n"/>
      <c r="U10" s="36" t="n">
        <v>46285</v>
      </c>
      <c r="V10" s="24" t="n"/>
      <c r="W10" s="15">
        <f>IF(P10="Production",IF(X10="Yes","Released","Review release"),IF(P10="Rolled back","Rolled back",IF(OR(Q10&lt;&gt;"",COUNTIFS(J10:N10,"Blocked")&gt;0),"Blocked",IF(OR(M10="Failed",N10="Rejected",AND(ISNUMBER(O10),O10&gt;0)),"Rework",IF(X10="Yes","Ready for release",IF(N10="Accepted","Verify completion",IF(OR(M10="Passed",M10="In progress",N10="In review"),"Testing / review",IF(OR(COUNTIFS(J10:L10,"In progress")&gt;0,COUNTIFS(J10:L10,"In review")&gt;0,COUNTIFS(J10:L10,"Done")&gt;0),"In progress",IF(COUNTIFS(J10:N10,"Not assessed")=5,"Not assessed","Planned")))))))))</f>
        <v/>
      </c>
      <c r="X10" s="15">
        <f>IF(AND(J10="Done",OR(K10="Done",K10="Not required"),OR(L10="Done",L10="Not required"),M10="Passed",N10="Accepted",ISNUMBER(O10),O10=0,Q10="",F10&lt;&gt;"",S10&lt;&gt;"",T10&lt;&gt;"",ISNUMBER(U10),OR(AND(K10&lt;&gt;"Not required",L10&lt;&gt;"Not required"),V10&lt;&gt;""),P10&lt;&gt;"Rolled back"),"Yes","No")</f>
        <v/>
      </c>
      <c r="Y10" s="15">
        <f>IF(X10="Yes","Completed",IF(H10="","No deadline",IF(NOT(ISNUMBER(H10)),"Check date",IF(H10&lt;Overview!$I$3,"Overdue",IF(H10&lt;=Overview!$I$3+7,"Due soon","On track")))))</f>
        <v/>
      </c>
      <c r="Z10" s="37">
        <f>IF(AND(X10&lt;&gt;"Yes",ISNUMBER(H10)),MAX(0,Overview!$I$3-H10),0)</f>
        <v/>
      </c>
      <c r="AA10" s="5" t="inlineStr">
        <is>
          <t>All Users</t>
        </is>
      </c>
      <c r="AB10" t="inlineStr">
        <is>
          <t>/account/forgot-password</t>
        </is>
      </c>
    </row>
    <row r="11" ht="35" customHeight="1">
      <c r="A11" s="2" t="inlineStr">
        <is>
          <t>SCR-005</t>
        </is>
      </c>
      <c r="B11" s="5" t="inlineStr">
        <is>
          <t>Reset Password</t>
        </is>
      </c>
      <c r="C11" s="5" t="inlineStr">
        <is>
          <t>Public Website &amp; Authentication</t>
        </is>
      </c>
      <c r="D11" s="2" t="inlineStr">
        <is>
          <t>MVP</t>
        </is>
      </c>
      <c r="E11" s="2" t="inlineStr">
        <is>
          <t>US-0009, US-0010</t>
        </is>
      </c>
      <c r="F11" s="24" t="n"/>
      <c r="G11" s="24" t="n"/>
      <c r="H11" s="32" t="n"/>
      <c r="I11" s="2" t="inlineStr">
        <is>
          <t>Ready</t>
        </is>
      </c>
      <c r="J11" s="33" t="inlineStr">
        <is>
          <t>Done</t>
        </is>
      </c>
      <c r="K11" s="33" t="inlineStr">
        <is>
          <t>Done</t>
        </is>
      </c>
      <c r="L11" s="24" t="inlineStr">
        <is>
          <t>Not assessed</t>
        </is>
      </c>
      <c r="M11" s="24" t="inlineStr">
        <is>
          <t>Not assessed</t>
        </is>
      </c>
      <c r="N11" s="24" t="inlineStr">
        <is>
          <t>Not assessed</t>
        </is>
      </c>
      <c r="O11" s="35" t="n"/>
      <c r="P11" s="24" t="inlineStr">
        <is>
          <t>Not scheduled</t>
        </is>
      </c>
      <c r="Q11" s="24" t="n"/>
      <c r="R11" s="24" t="inlineStr">
        <is>
          <t>Code dies on use, on reissue and after five guesses</t>
        </is>
      </c>
      <c r="S11" s="24" t="n"/>
      <c r="T11" s="24" t="n"/>
      <c r="U11" s="36" t="n">
        <v>46285</v>
      </c>
      <c r="V11" s="24" t="n"/>
      <c r="W11" s="15">
        <f>IF(P11="Production",IF(X11="Yes","Released","Review release"),IF(P11="Rolled back","Rolled back",IF(OR(Q11&lt;&gt;"",COUNTIFS(J11:N11,"Blocked")&gt;0),"Blocked",IF(OR(M11="Failed",N11="Rejected",AND(ISNUMBER(O11),O11&gt;0)),"Rework",IF(X11="Yes","Ready for release",IF(N11="Accepted","Verify completion",IF(OR(M11="Passed",M11="In progress",N11="In review"),"Testing / review",IF(OR(COUNTIFS(J11:L11,"In progress")&gt;0,COUNTIFS(J11:L11,"In review")&gt;0,COUNTIFS(J11:L11,"Done")&gt;0),"In progress",IF(COUNTIFS(J11:N11,"Not assessed")=5,"Not assessed","Planned")))))))))</f>
        <v/>
      </c>
      <c r="X11" s="15">
        <f>IF(AND(J11="Done",OR(K11="Done",K11="Not required"),OR(L11="Done",L11="Not required"),M11="Passed",N11="Accepted",ISNUMBER(O11),O11=0,Q11="",F11&lt;&gt;"",S11&lt;&gt;"",T11&lt;&gt;"",ISNUMBER(U11),OR(AND(K11&lt;&gt;"Not required",L11&lt;&gt;"Not required"),V11&lt;&gt;""),P11&lt;&gt;"Rolled back"),"Yes","No")</f>
        <v/>
      </c>
      <c r="Y11" s="15">
        <f>IF(X11="Yes","Completed",IF(H11="","No deadline",IF(NOT(ISNUMBER(H11)),"Check date",IF(H11&lt;Overview!$I$3,"Overdue",IF(H11&lt;=Overview!$I$3+7,"Due soon","On track")))))</f>
        <v/>
      </c>
      <c r="Z11" s="37">
        <f>IF(AND(X11&lt;&gt;"Yes",ISNUMBER(H11)),MAX(0,Overview!$I$3-H11),0)</f>
        <v/>
      </c>
      <c r="AA11" s="5" t="inlineStr">
        <is>
          <t>All Users</t>
        </is>
      </c>
      <c r="AB11" t="inlineStr">
        <is>
          <t>/account/reset-password</t>
        </is>
      </c>
    </row>
    <row r="12" ht="35" customHeight="1">
      <c r="A12" s="2" t="inlineStr">
        <is>
          <t>SCR-006</t>
        </is>
      </c>
      <c r="B12" s="5" t="inlineStr">
        <is>
          <t>OTP / Two-Factor Verification</t>
        </is>
      </c>
      <c r="C12" s="5" t="inlineStr">
        <is>
          <t>Public Website &amp; Authentication</t>
        </is>
      </c>
      <c r="D12" s="2" t="inlineStr">
        <is>
          <t>Phase 2</t>
        </is>
      </c>
      <c r="E12" s="2" t="inlineStr">
        <is>
          <t>US-0011, US-0012</t>
        </is>
      </c>
      <c r="F12" s="24" t="n"/>
      <c r="G12" s="24" t="n"/>
      <c r="H12" s="32" t="n"/>
      <c r="I12" s="2" t="inlineStr">
        <is>
          <t>Ready</t>
        </is>
      </c>
      <c r="J12" s="39" t="inlineStr">
        <is>
          <t>Not started</t>
        </is>
      </c>
      <c r="K12" s="39" t="inlineStr">
        <is>
          <t>Not started</t>
        </is>
      </c>
      <c r="L12" s="24" t="inlineStr">
        <is>
          <t>Not assessed</t>
        </is>
      </c>
      <c r="M12" s="24" t="inlineStr">
        <is>
          <t>Not assessed</t>
        </is>
      </c>
      <c r="N12" s="24" t="inlineStr">
        <is>
          <t>Not assessed</t>
        </is>
      </c>
      <c r="O12" s="35" t="n"/>
      <c r="P12" s="24" t="inlineStr">
        <is>
          <t>Not scheduled</t>
        </is>
      </c>
      <c r="Q12" s="24" t="n"/>
      <c r="R12" s="24" t="inlineStr">
        <is>
          <t>Parent login says OTP coming soon</t>
        </is>
      </c>
      <c r="S12" s="24" t="n"/>
      <c r="T12" s="24" t="n"/>
      <c r="U12" s="36" t="n">
        <v>46285</v>
      </c>
      <c r="V12" s="24" t="n"/>
      <c r="W12" s="15">
        <f>IF(P12="Production",IF(X12="Yes","Released","Review release"),IF(P12="Rolled back","Rolled back",IF(OR(Q12&lt;&gt;"",COUNTIFS(J12:N12,"Blocked")&gt;0),"Blocked",IF(OR(M12="Failed",N12="Rejected",AND(ISNUMBER(O12),O12&gt;0)),"Rework",IF(X12="Yes","Ready for release",IF(N12="Accepted","Verify completion",IF(OR(M12="Passed",M12="In progress",N12="In review"),"Testing / review",IF(OR(COUNTIFS(J12:L12,"In progress")&gt;0,COUNTIFS(J12:L12,"In review")&gt;0,COUNTIFS(J12:L12,"Done")&gt;0),"In progress",IF(COUNTIFS(J12:N12,"Not assessed")=5,"Not assessed","Planned")))))))))</f>
        <v/>
      </c>
      <c r="X12" s="15">
        <f>IF(AND(J12="Done",OR(K12="Done",K12="Not required"),OR(L12="Done",L12="Not required"),M12="Passed",N12="Accepted",ISNUMBER(O12),O12=0,Q12="",F12&lt;&gt;"",S12&lt;&gt;"",T12&lt;&gt;"",ISNUMBER(U12),OR(AND(K12&lt;&gt;"Not required",L12&lt;&gt;"Not required"),V12&lt;&gt;""),P12&lt;&gt;"Rolled back"),"Yes","No")</f>
        <v/>
      </c>
      <c r="Y12" s="15">
        <f>IF(X12="Yes","Completed",IF(H12="","No deadline",IF(NOT(ISNUMBER(H12)),"Check date",IF(H12&lt;Overview!$I$3,"Overdue",IF(H12&lt;=Overview!$I$3+7,"Due soon","On track")))))</f>
        <v/>
      </c>
      <c r="Z12" s="37">
        <f>IF(AND(X12&lt;&gt;"Yes",ISNUMBER(H12)),MAX(0,Overview!$I$3-H12),0)</f>
        <v/>
      </c>
      <c r="AA12" s="5" t="inlineStr">
        <is>
          <t>All Users</t>
        </is>
      </c>
      <c r="AB12" t="inlineStr">
        <is>
          <t>-</t>
        </is>
      </c>
    </row>
    <row r="13" ht="35" customHeight="1">
      <c r="A13" s="2" t="inlineStr">
        <is>
          <t>SCR-007</t>
        </is>
      </c>
      <c r="B13" s="5" t="inlineStr">
        <is>
          <t>First Login / Change Password</t>
        </is>
      </c>
      <c r="C13" s="5" t="inlineStr">
        <is>
          <t>Public Website &amp; Authentication</t>
        </is>
      </c>
      <c r="D13" s="2" t="inlineStr">
        <is>
          <t>Phase 2</t>
        </is>
      </c>
      <c r="E13" s="2" t="inlineStr">
        <is>
          <t>US-0013, US-0014</t>
        </is>
      </c>
      <c r="F13" s="24" t="n"/>
      <c r="G13" s="24" t="n"/>
      <c r="H13" s="32" t="n"/>
      <c r="I13" s="2" t="inlineStr">
        <is>
          <t>Ready</t>
        </is>
      </c>
      <c r="J13" s="33" t="inlineStr">
        <is>
          <t>Done</t>
        </is>
      </c>
      <c r="K13" s="33" t="inlineStr">
        <is>
          <t>Done</t>
        </is>
      </c>
      <c r="L13" s="24" t="inlineStr">
        <is>
          <t>Not assessed</t>
        </is>
      </c>
      <c r="M13" s="24" t="inlineStr">
        <is>
          <t>Not assessed</t>
        </is>
      </c>
      <c r="N13" s="24" t="inlineStr">
        <is>
          <t>Not assessed</t>
        </is>
      </c>
      <c r="O13" s="35" t="n"/>
      <c r="P13" s="24" t="inlineStr">
        <is>
          <t>Not scheduled</t>
        </is>
      </c>
      <c r="Q13" s="24" t="n"/>
      <c r="R13" s="24" t="inlineStr">
        <is>
          <t>Every guard forces it when somebody else set the password</t>
        </is>
      </c>
      <c r="S13" s="24" t="n"/>
      <c r="T13" s="24" t="n"/>
      <c r="U13" s="36" t="n">
        <v>46285</v>
      </c>
      <c r="V13" s="24" t="n"/>
      <c r="W13" s="15">
        <f>IF(P13="Production",IF(X13="Yes","Released","Review release"),IF(P13="Rolled back","Rolled back",IF(OR(Q13&lt;&gt;"",COUNTIFS(J13:N13,"Blocked")&gt;0),"Blocked",IF(OR(M13="Failed",N13="Rejected",AND(ISNUMBER(O13),O13&gt;0)),"Rework",IF(X13="Yes","Ready for release",IF(N13="Accepted","Verify completion",IF(OR(M13="Passed",M13="In progress",N13="In review"),"Testing / review",IF(OR(COUNTIFS(J13:L13,"In progress")&gt;0,COUNTIFS(J13:L13,"In review")&gt;0,COUNTIFS(J13:L13,"Done")&gt;0),"In progress",IF(COUNTIFS(J13:N13,"Not assessed")=5,"Not assessed","Planned")))))))))</f>
        <v/>
      </c>
      <c r="X13" s="15">
        <f>IF(AND(J13="Done",OR(K13="Done",K13="Not required"),OR(L13="Done",L13="Not required"),M13="Passed",N13="Accepted",ISNUMBER(O13),O13=0,Q13="",F13&lt;&gt;"",S13&lt;&gt;"",T13&lt;&gt;"",ISNUMBER(U13),OR(AND(K13&lt;&gt;"Not required",L13&lt;&gt;"Not required"),V13&lt;&gt;""),P13&lt;&gt;"Rolled back"),"Yes","No")</f>
        <v/>
      </c>
      <c r="Y13" s="15">
        <f>IF(X13="Yes","Completed",IF(H13="","No deadline",IF(NOT(ISNUMBER(H13)),"Check date",IF(H13&lt;Overview!$I$3,"Overdue",IF(H13&lt;=Overview!$I$3+7,"Due soon","On track")))))</f>
        <v/>
      </c>
      <c r="Z13" s="37">
        <f>IF(AND(X13&lt;&gt;"Yes",ISNUMBER(H13)),MAX(0,Overview!$I$3-H13),0)</f>
        <v/>
      </c>
      <c r="AA13" s="5" t="inlineStr">
        <is>
          <t>All Users</t>
        </is>
      </c>
      <c r="AB13" t="inlineStr">
        <is>
          <t>/account/change-password</t>
        </is>
      </c>
    </row>
    <row r="14" ht="35" customHeight="1">
      <c r="A14" s="2" t="inlineStr">
        <is>
          <t>SCR-008</t>
        </is>
      </c>
      <c r="B14" s="5" t="inlineStr">
        <is>
          <t>Access Denied / Session Expired</t>
        </is>
      </c>
      <c r="C14" s="5" t="inlineStr">
        <is>
          <t>Public Website &amp; Authentication</t>
        </is>
      </c>
      <c r="D14" s="2" t="inlineStr">
        <is>
          <t>Phase 2</t>
        </is>
      </c>
      <c r="E14" s="2" t="inlineStr">
        <is>
          <t>US-0015, US-0016</t>
        </is>
      </c>
      <c r="F14" s="24" t="n"/>
      <c r="G14" s="24" t="n"/>
      <c r="H14" s="32" t="n"/>
      <c r="I14" s="2" t="inlineStr">
        <is>
          <t>Ready</t>
        </is>
      </c>
      <c r="J14" s="33" t="inlineStr">
        <is>
          <t>Done</t>
        </is>
      </c>
      <c r="K14" s="34" t="inlineStr">
        <is>
          <t>Not required</t>
        </is>
      </c>
      <c r="L14" s="24" t="inlineStr">
        <is>
          <t>Not assessed</t>
        </is>
      </c>
      <c r="M14" s="24" t="inlineStr">
        <is>
          <t>Not assessed</t>
        </is>
      </c>
      <c r="N14" s="24" t="inlineStr">
        <is>
          <t>Not assessed</t>
        </is>
      </c>
      <c r="O14" s="35" t="n"/>
      <c r="P14" s="24" t="inlineStr">
        <is>
          <t>Not scheduled</t>
        </is>
      </c>
      <c r="Q14" s="24" t="n"/>
      <c r="R14" s="24" t="inlineStr">
        <is>
          <t>Expired and forbidden, and the 401 interceptor routes here</t>
        </is>
      </c>
      <c r="S14" s="24" t="n"/>
      <c r="T14" s="24" t="n"/>
      <c r="U14" s="36" t="n">
        <v>46285</v>
      </c>
      <c r="V14" s="24" t="inlineStr">
        <is>
          <t>Expired and forbidden, and the 401 interceptor routes here</t>
        </is>
      </c>
      <c r="W14" s="15">
        <f>IF(P14="Production",IF(X14="Yes","Released","Review release"),IF(P14="Rolled back","Rolled back",IF(OR(Q14&lt;&gt;"",COUNTIFS(J14:N14,"Blocked")&gt;0),"Blocked",IF(OR(M14="Failed",N14="Rejected",AND(ISNUMBER(O14),O14&gt;0)),"Rework",IF(X14="Yes","Ready for release",IF(N14="Accepted","Verify completion",IF(OR(M14="Passed",M14="In progress",N14="In review"),"Testing / review",IF(OR(COUNTIFS(J14:L14,"In progress")&gt;0,COUNTIFS(J14:L14,"In review")&gt;0,COUNTIFS(J14:L14,"Done")&gt;0),"In progress",IF(COUNTIFS(J14:N14,"Not assessed")=5,"Not assessed","Planned")))))))))</f>
        <v/>
      </c>
      <c r="X14" s="15">
        <f>IF(AND(J14="Done",OR(K14="Done",K14="Not required"),OR(L14="Done",L14="Not required"),M14="Passed",N14="Accepted",ISNUMBER(O14),O14=0,Q14="",F14&lt;&gt;"",S14&lt;&gt;"",T14&lt;&gt;"",ISNUMBER(U14),OR(AND(K14&lt;&gt;"Not required",L14&lt;&gt;"Not required"),V14&lt;&gt;""),P14&lt;&gt;"Rolled back"),"Yes","No")</f>
        <v/>
      </c>
      <c r="Y14" s="15">
        <f>IF(X14="Yes","Completed",IF(H14="","No deadline",IF(NOT(ISNUMBER(H14)),"Check date",IF(H14&lt;Overview!$I$3,"Overdue",IF(H14&lt;=Overview!$I$3+7,"Due soon","On track")))))</f>
        <v/>
      </c>
      <c r="Z14" s="37">
        <f>IF(AND(X14&lt;&gt;"Yes",ISNUMBER(H14)),MAX(0,Overview!$I$3-H14),0)</f>
        <v/>
      </c>
      <c r="AA14" s="5" t="inlineStr">
        <is>
          <t>All Users</t>
        </is>
      </c>
      <c r="AB14" t="inlineStr">
        <is>
          <t>/account/denied</t>
        </is>
      </c>
    </row>
    <row r="15" ht="35" customHeight="1">
      <c r="A15" s="2" t="inlineStr">
        <is>
          <t>SCR-009</t>
        </is>
      </c>
      <c r="B15" s="5" t="inlineStr">
        <is>
          <t>Platform Dashboard</t>
        </is>
      </c>
      <c r="C15" s="5" t="inlineStr">
        <is>
          <t>Super Admin / SaaS Administration</t>
        </is>
      </c>
      <c r="D15" s="2" t="inlineStr">
        <is>
          <t>MVP</t>
        </is>
      </c>
      <c r="E15" s="2" t="inlineStr">
        <is>
          <t>US-0017, US-0018</t>
        </is>
      </c>
      <c r="F15" s="24" t="n"/>
      <c r="G15" s="24" t="n"/>
      <c r="H15" s="32" t="n"/>
      <c r="I15" s="2" t="inlineStr">
        <is>
          <t>Ready</t>
        </is>
      </c>
      <c r="J15" s="33" t="inlineStr">
        <is>
          <t>Done</t>
        </is>
      </c>
      <c r="K15" s="33" t="inlineStr">
        <is>
          <t>Done</t>
        </is>
      </c>
      <c r="L15" s="24" t="inlineStr">
        <is>
          <t>Not assessed</t>
        </is>
      </c>
      <c r="M15" s="24" t="inlineStr">
        <is>
          <t>Not assessed</t>
        </is>
      </c>
      <c r="N15" s="24" t="inlineStr">
        <is>
          <t>Not assessed</t>
        </is>
      </c>
      <c r="O15" s="35" t="n"/>
      <c r="P15" s="24" t="inlineStr">
        <is>
          <t>Not scheduled</t>
        </is>
      </c>
      <c r="Q15" s="24" t="n"/>
      <c r="R15" s="24" t="inlineStr">
        <is>
          <t>Usage counters, renewals, CSV export</t>
        </is>
      </c>
      <c r="S15" s="24" t="n"/>
      <c r="T15" s="24" t="n"/>
      <c r="U15" s="36" t="n">
        <v>46285</v>
      </c>
      <c r="V15" s="24" t="n"/>
      <c r="W15" s="15">
        <f>IF(P15="Production",IF(X15="Yes","Released","Review release"),IF(P15="Rolled back","Rolled back",IF(OR(Q15&lt;&gt;"",COUNTIFS(J15:N15,"Blocked")&gt;0),"Blocked",IF(OR(M15="Failed",N15="Rejected",AND(ISNUMBER(O15),O15&gt;0)),"Rework",IF(X15="Yes","Ready for release",IF(N15="Accepted","Verify completion",IF(OR(M15="Passed",M15="In progress",N15="In review"),"Testing / review",IF(OR(COUNTIFS(J15:L15,"In progress")&gt;0,COUNTIFS(J15:L15,"In review")&gt;0,COUNTIFS(J15:L15,"Done")&gt;0),"In progress",IF(COUNTIFS(J15:N15,"Not assessed")=5,"Not assessed","Planned")))))))))</f>
        <v/>
      </c>
      <c r="X15" s="15">
        <f>IF(AND(J15="Done",OR(K15="Done",K15="Not required"),OR(L15="Done",L15="Not required"),M15="Passed",N15="Accepted",ISNUMBER(O15),O15=0,Q15="",F15&lt;&gt;"",S15&lt;&gt;"",T15&lt;&gt;"",ISNUMBER(U15),OR(AND(K15&lt;&gt;"Not required",L15&lt;&gt;"Not required"),V15&lt;&gt;""),P15&lt;&gt;"Rolled back"),"Yes","No")</f>
        <v/>
      </c>
      <c r="Y15" s="15">
        <f>IF(X15="Yes","Completed",IF(H15="","No deadline",IF(NOT(ISNUMBER(H15)),"Check date",IF(H15&lt;Overview!$I$3,"Overdue",IF(H15&lt;=Overview!$I$3+7,"Due soon","On track")))))</f>
        <v/>
      </c>
      <c r="Z15" s="37">
        <f>IF(AND(X15&lt;&gt;"Yes",ISNUMBER(H15)),MAX(0,Overview!$I$3-H15),0)</f>
        <v/>
      </c>
      <c r="AA15" s="5" t="inlineStr">
        <is>
          <t>Super Admin</t>
        </is>
      </c>
      <c r="AB15" t="inlineStr">
        <is>
          <t>/super-admin</t>
        </is>
      </c>
    </row>
    <row r="16" ht="35" customHeight="1">
      <c r="A16" s="2" t="inlineStr">
        <is>
          <t>SCR-010</t>
        </is>
      </c>
      <c r="B16" s="5" t="inlineStr">
        <is>
          <t>Organizations List</t>
        </is>
      </c>
      <c r="C16" s="5" t="inlineStr">
        <is>
          <t>Super Admin / SaaS Administration</t>
        </is>
      </c>
      <c r="D16" s="2" t="inlineStr">
        <is>
          <t>MVP</t>
        </is>
      </c>
      <c r="E16" s="2" t="inlineStr">
        <is>
          <t>US-0019, US-0020</t>
        </is>
      </c>
      <c r="F16" s="24" t="n"/>
      <c r="G16" s="24" t="n"/>
      <c r="H16" s="32" t="n"/>
      <c r="I16" s="2" t="inlineStr">
        <is>
          <t>Ready</t>
        </is>
      </c>
      <c r="J16" s="33" t="inlineStr">
        <is>
          <t>Done</t>
        </is>
      </c>
      <c r="K16" s="33" t="inlineStr">
        <is>
          <t>Done</t>
        </is>
      </c>
      <c r="L16" s="24" t="inlineStr">
        <is>
          <t>Not assessed</t>
        </is>
      </c>
      <c r="M16" s="24" t="inlineStr">
        <is>
          <t>Not assessed</t>
        </is>
      </c>
      <c r="N16" s="24" t="inlineStr">
        <is>
          <t>Not assessed</t>
        </is>
      </c>
      <c r="O16" s="35" t="n"/>
      <c r="P16" s="24" t="inlineStr">
        <is>
          <t>Not scheduled</t>
        </is>
      </c>
      <c r="Q16" s="24" t="n"/>
      <c r="R16" s="24" t="inlineStr">
        <is>
          <t>Paginated table with search and status</t>
        </is>
      </c>
      <c r="S16" s="24" t="n"/>
      <c r="T16" s="24" t="n"/>
      <c r="U16" s="36" t="n">
        <v>46285</v>
      </c>
      <c r="V16" s="24" t="n"/>
      <c r="W16" s="15">
        <f>IF(P16="Production",IF(X16="Yes","Released","Review release"),IF(P16="Rolled back","Rolled back",IF(OR(Q16&lt;&gt;"",COUNTIFS(J16:N16,"Blocked")&gt;0),"Blocked",IF(OR(M16="Failed",N16="Rejected",AND(ISNUMBER(O16),O16&gt;0)),"Rework",IF(X16="Yes","Ready for release",IF(N16="Accepted","Verify completion",IF(OR(M16="Passed",M16="In progress",N16="In review"),"Testing / review",IF(OR(COUNTIFS(J16:L16,"In progress")&gt;0,COUNTIFS(J16:L16,"In review")&gt;0,COUNTIFS(J16:L16,"Done")&gt;0),"In progress",IF(COUNTIFS(J16:N16,"Not assessed")=5,"Not assessed","Planned")))))))))</f>
        <v/>
      </c>
      <c r="X16" s="15">
        <f>IF(AND(J16="Done",OR(K16="Done",K16="Not required"),OR(L16="Done",L16="Not required"),M16="Passed",N16="Accepted",ISNUMBER(O16),O16=0,Q16="",F16&lt;&gt;"",S16&lt;&gt;"",T16&lt;&gt;"",ISNUMBER(U16),OR(AND(K16&lt;&gt;"Not required",L16&lt;&gt;"Not required"),V16&lt;&gt;""),P16&lt;&gt;"Rolled back"),"Yes","No")</f>
        <v/>
      </c>
      <c r="Y16" s="15">
        <f>IF(X16="Yes","Completed",IF(H16="","No deadline",IF(NOT(ISNUMBER(H16)),"Check date",IF(H16&lt;Overview!$I$3,"Overdue",IF(H16&lt;=Overview!$I$3+7,"Due soon","On track")))))</f>
        <v/>
      </c>
      <c r="Z16" s="37">
        <f>IF(AND(X16&lt;&gt;"Yes",ISNUMBER(H16)),MAX(0,Overview!$I$3-H16),0)</f>
        <v/>
      </c>
      <c r="AA16" s="5" t="inlineStr">
        <is>
          <t>Super Admin</t>
        </is>
      </c>
      <c r="AB16" t="inlineStr">
        <is>
          <t>/super-admin/tenants</t>
        </is>
      </c>
    </row>
    <row r="17" ht="35" customHeight="1">
      <c r="A17" s="2" t="inlineStr">
        <is>
          <t>SCR-011</t>
        </is>
      </c>
      <c r="B17" s="5" t="inlineStr">
        <is>
          <t>Add Organization</t>
        </is>
      </c>
      <c r="C17" s="5" t="inlineStr">
        <is>
          <t>Super Admin / SaaS Administration</t>
        </is>
      </c>
      <c r="D17" s="2" t="inlineStr">
        <is>
          <t>MVP</t>
        </is>
      </c>
      <c r="E17" s="2" t="inlineStr">
        <is>
          <t>US-0021, US-0022</t>
        </is>
      </c>
      <c r="F17" s="24" t="n"/>
      <c r="G17" s="24" t="n"/>
      <c r="H17" s="32" t="n"/>
      <c r="I17" s="2" t="inlineStr">
        <is>
          <t>Ready</t>
        </is>
      </c>
      <c r="J17" s="33" t="inlineStr">
        <is>
          <t>Done</t>
        </is>
      </c>
      <c r="K17" s="33" t="inlineStr">
        <is>
          <t>Done</t>
        </is>
      </c>
      <c r="L17" s="24" t="inlineStr">
        <is>
          <t>Not assessed</t>
        </is>
      </c>
      <c r="M17" s="24" t="inlineStr">
        <is>
          <t>Not assessed</t>
        </is>
      </c>
      <c r="N17" s="24" t="inlineStr">
        <is>
          <t>Not assessed</t>
        </is>
      </c>
      <c r="O17" s="35" t="n"/>
      <c r="P17" s="24" t="inlineStr">
        <is>
          <t>Not scheduled</t>
        </is>
      </c>
      <c r="Q17" s="24" t="n"/>
      <c r="R17" s="24" t="inlineStr">
        <is>
          <t>Creates tenant, school and admin</t>
        </is>
      </c>
      <c r="S17" s="24" t="n"/>
      <c r="T17" s="24" t="n"/>
      <c r="U17" s="36" t="n">
        <v>46285</v>
      </c>
      <c r="V17" s="24" t="n"/>
      <c r="W17" s="15">
        <f>IF(P17="Production",IF(X17="Yes","Released","Review release"),IF(P17="Rolled back","Rolled back",IF(OR(Q17&lt;&gt;"",COUNTIFS(J17:N17,"Blocked")&gt;0),"Blocked",IF(OR(M17="Failed",N17="Rejected",AND(ISNUMBER(O17),O17&gt;0)),"Rework",IF(X17="Yes","Ready for release",IF(N17="Accepted","Verify completion",IF(OR(M17="Passed",M17="In progress",N17="In review"),"Testing / review",IF(OR(COUNTIFS(J17:L17,"In progress")&gt;0,COUNTIFS(J17:L17,"In review")&gt;0,COUNTIFS(J17:L17,"Done")&gt;0),"In progress",IF(COUNTIFS(J17:N17,"Not assessed")=5,"Not assessed","Planned")))))))))</f>
        <v/>
      </c>
      <c r="X17" s="15">
        <f>IF(AND(J17="Done",OR(K17="Done",K17="Not required"),OR(L17="Done",L17="Not required"),M17="Passed",N17="Accepted",ISNUMBER(O17),O17=0,Q17="",F17&lt;&gt;"",S17&lt;&gt;"",T17&lt;&gt;"",ISNUMBER(U17),OR(AND(K17&lt;&gt;"Not required",L17&lt;&gt;"Not required"),V17&lt;&gt;""),P17&lt;&gt;"Rolled back"),"Yes","No")</f>
        <v/>
      </c>
      <c r="Y17" s="15">
        <f>IF(X17="Yes","Completed",IF(H17="","No deadline",IF(NOT(ISNUMBER(H17)),"Check date",IF(H17&lt;Overview!$I$3,"Overdue",IF(H17&lt;=Overview!$I$3+7,"Due soon","On track")))))</f>
        <v/>
      </c>
      <c r="Z17" s="37">
        <f>IF(AND(X17&lt;&gt;"Yes",ISNUMBER(H17)),MAX(0,Overview!$I$3-H17),0)</f>
        <v/>
      </c>
      <c r="AA17" s="5" t="inlineStr">
        <is>
          <t>Super Admin</t>
        </is>
      </c>
      <c r="AB17" t="inlineStr">
        <is>
          <t>/super-admin/tenants</t>
        </is>
      </c>
    </row>
    <row r="18" ht="35" customHeight="1">
      <c r="A18" s="2" t="inlineStr">
        <is>
          <t>SCR-012</t>
        </is>
      </c>
      <c r="B18" s="5" t="inlineStr">
        <is>
          <t>Organization Details</t>
        </is>
      </c>
      <c r="C18" s="5" t="inlineStr">
        <is>
          <t>Super Admin / SaaS Administration</t>
        </is>
      </c>
      <c r="D18" s="2" t="inlineStr">
        <is>
          <t>Phase 2</t>
        </is>
      </c>
      <c r="E18" s="2" t="inlineStr">
        <is>
          <t>US-0023, US-0024</t>
        </is>
      </c>
      <c r="F18" s="24" t="n"/>
      <c r="G18" s="24" t="n"/>
      <c r="H18" s="32" t="n"/>
      <c r="I18" s="2" t="inlineStr">
        <is>
          <t>Ready</t>
        </is>
      </c>
      <c r="J18" s="33" t="inlineStr">
        <is>
          <t>Done</t>
        </is>
      </c>
      <c r="K18" s="33" t="inlineStr">
        <is>
          <t>Done</t>
        </is>
      </c>
      <c r="L18" s="24" t="inlineStr">
        <is>
          <t>Not assessed</t>
        </is>
      </c>
      <c r="M18" s="24" t="inlineStr">
        <is>
          <t>Not assessed</t>
        </is>
      </c>
      <c r="N18" s="24" t="inlineStr">
        <is>
          <t>Not assessed</t>
        </is>
      </c>
      <c r="O18" s="35" t="n"/>
      <c r="P18" s="24" t="inlineStr">
        <is>
          <t>Not scheduled</t>
        </is>
      </c>
      <c r="Q18" s="24" t="n"/>
      <c r="R18" s="24" t="inlineStr">
        <is>
          <t>Subscription, schools, usage, payments, suspend</t>
        </is>
      </c>
      <c r="S18" s="24" t="n"/>
      <c r="T18" s="24" t="n"/>
      <c r="U18" s="36" t="n">
        <v>46285</v>
      </c>
      <c r="V18" s="24" t="n"/>
      <c r="W18" s="15">
        <f>IF(P18="Production",IF(X18="Yes","Released","Review release"),IF(P18="Rolled back","Rolled back",IF(OR(Q18&lt;&gt;"",COUNTIFS(J18:N18,"Blocked")&gt;0),"Blocked",IF(OR(M18="Failed",N18="Rejected",AND(ISNUMBER(O18),O18&gt;0)),"Rework",IF(X18="Yes","Ready for release",IF(N18="Accepted","Verify completion",IF(OR(M18="Passed",M18="In progress",N18="In review"),"Testing / review",IF(OR(COUNTIFS(J18:L18,"In progress")&gt;0,COUNTIFS(J18:L18,"In review")&gt;0,COUNTIFS(J18:L18,"Done")&gt;0),"In progress",IF(COUNTIFS(J18:N18,"Not assessed")=5,"Not assessed","Planned")))))))))</f>
        <v/>
      </c>
      <c r="X18" s="15">
        <f>IF(AND(J18="Done",OR(K18="Done",K18="Not required"),OR(L18="Done",L18="Not required"),M18="Passed",N18="Accepted",ISNUMBER(O18),O18=0,Q18="",F18&lt;&gt;"",S18&lt;&gt;"",T18&lt;&gt;"",ISNUMBER(U18),OR(AND(K18&lt;&gt;"Not required",L18&lt;&gt;"Not required"),V18&lt;&gt;""),P18&lt;&gt;"Rolled back"),"Yes","No")</f>
        <v/>
      </c>
      <c r="Y18" s="15">
        <f>IF(X18="Yes","Completed",IF(H18="","No deadline",IF(NOT(ISNUMBER(H18)),"Check date",IF(H18&lt;Overview!$I$3,"Overdue",IF(H18&lt;=Overview!$I$3+7,"Due soon","On track")))))</f>
        <v/>
      </c>
      <c r="Z18" s="37">
        <f>IF(AND(X18&lt;&gt;"Yes",ISNUMBER(H18)),MAX(0,Overview!$I$3-H18),0)</f>
        <v/>
      </c>
      <c r="AA18" s="5" t="inlineStr">
        <is>
          <t>Super Admin</t>
        </is>
      </c>
      <c r="AB18" t="inlineStr">
        <is>
          <t>/super-admin/tenants/[id]</t>
        </is>
      </c>
    </row>
    <row r="19" ht="35" customHeight="1">
      <c r="A19" s="2" t="inlineStr">
        <is>
          <t>SCR-013</t>
        </is>
      </c>
      <c r="B19" s="5" t="inlineStr">
        <is>
          <t>Subscription Plans</t>
        </is>
      </c>
      <c r="C19" s="5" t="inlineStr">
        <is>
          <t>Super Admin / SaaS Administration</t>
        </is>
      </c>
      <c r="D19" s="2" t="inlineStr">
        <is>
          <t>Phase 2</t>
        </is>
      </c>
      <c r="E19" s="2" t="inlineStr">
        <is>
          <t>US-0025, US-0026</t>
        </is>
      </c>
      <c r="F19" s="24" t="n"/>
      <c r="G19" s="24" t="n"/>
      <c r="H19" s="32" t="n"/>
      <c r="I19" s="2" t="inlineStr">
        <is>
          <t>Ready</t>
        </is>
      </c>
      <c r="J19" s="33" t="inlineStr">
        <is>
          <t>Done</t>
        </is>
      </c>
      <c r="K19" s="33" t="inlineStr">
        <is>
          <t>Done</t>
        </is>
      </c>
      <c r="L19" s="24" t="inlineStr">
        <is>
          <t>Not assessed</t>
        </is>
      </c>
      <c r="M19" s="24" t="inlineStr">
        <is>
          <t>Not assessed</t>
        </is>
      </c>
      <c r="N19" s="24" t="inlineStr">
        <is>
          <t>Not assessed</t>
        </is>
      </c>
      <c r="O19" s="35" t="n"/>
      <c r="P19" s="24" t="inlineStr">
        <is>
          <t>Not scheduled</t>
        </is>
      </c>
      <c r="Q19" s="24" t="n"/>
      <c r="R19" s="24" t="inlineStr">
        <is>
          <t>List plus create and edit</t>
        </is>
      </c>
      <c r="S19" s="24" t="n"/>
      <c r="T19" s="24" t="n"/>
      <c r="U19" s="36" t="n">
        <v>46285</v>
      </c>
      <c r="V19" s="24" t="n"/>
      <c r="W19" s="15">
        <f>IF(P19="Production",IF(X19="Yes","Released","Review release"),IF(P19="Rolled back","Rolled back",IF(OR(Q19&lt;&gt;"",COUNTIFS(J19:N19,"Blocked")&gt;0),"Blocked",IF(OR(M19="Failed",N19="Rejected",AND(ISNUMBER(O19),O19&gt;0)),"Rework",IF(X19="Yes","Ready for release",IF(N19="Accepted","Verify completion",IF(OR(M19="Passed",M19="In progress",N19="In review"),"Testing / review",IF(OR(COUNTIFS(J19:L19,"In progress")&gt;0,COUNTIFS(J19:L19,"In review")&gt;0,COUNTIFS(J19:L19,"Done")&gt;0),"In progress",IF(COUNTIFS(J19:N19,"Not assessed")=5,"Not assessed","Planned")))))))))</f>
        <v/>
      </c>
      <c r="X19" s="15">
        <f>IF(AND(J19="Done",OR(K19="Done",K19="Not required"),OR(L19="Done",L19="Not required"),M19="Passed",N19="Accepted",ISNUMBER(O19),O19=0,Q19="",F19&lt;&gt;"",S19&lt;&gt;"",T19&lt;&gt;"",ISNUMBER(U19),OR(AND(K19&lt;&gt;"Not required",L19&lt;&gt;"Not required"),V19&lt;&gt;""),P19&lt;&gt;"Rolled back"),"Yes","No")</f>
        <v/>
      </c>
      <c r="Y19" s="15">
        <f>IF(X19="Yes","Completed",IF(H19="","No deadline",IF(NOT(ISNUMBER(H19)),"Check date",IF(H19&lt;Overview!$I$3,"Overdue",IF(H19&lt;=Overview!$I$3+7,"Due soon","On track")))))</f>
        <v/>
      </c>
      <c r="Z19" s="37">
        <f>IF(AND(X19&lt;&gt;"Yes",ISNUMBER(H19)),MAX(0,Overview!$I$3-H19),0)</f>
        <v/>
      </c>
      <c r="AA19" s="5" t="inlineStr">
        <is>
          <t>Super Admin</t>
        </is>
      </c>
      <c r="AB19" t="inlineStr">
        <is>
          <t>/super-admin/plans</t>
        </is>
      </c>
    </row>
    <row r="20" ht="35" customHeight="1">
      <c r="A20" s="2" t="inlineStr">
        <is>
          <t>SCR-014</t>
        </is>
      </c>
      <c r="B20" s="5" t="inlineStr">
        <is>
          <t>Subscriptions &amp; Billing</t>
        </is>
      </c>
      <c r="C20" s="5" t="inlineStr">
        <is>
          <t>Super Admin / SaaS Administration</t>
        </is>
      </c>
      <c r="D20" s="2" t="inlineStr">
        <is>
          <t>Phase 2</t>
        </is>
      </c>
      <c r="E20" s="2" t="inlineStr">
        <is>
          <t>US-0027, US-0028</t>
        </is>
      </c>
      <c r="F20" s="24" t="n"/>
      <c r="G20" s="24" t="n"/>
      <c r="H20" s="32" t="n"/>
      <c r="I20" s="2" t="inlineStr">
        <is>
          <t>Ready</t>
        </is>
      </c>
      <c r="J20" s="38" t="inlineStr">
        <is>
          <t>In progress</t>
        </is>
      </c>
      <c r="K20" s="38" t="inlineStr">
        <is>
          <t>In progress</t>
        </is>
      </c>
      <c r="L20" s="24" t="inlineStr">
        <is>
          <t>Not assessed</t>
        </is>
      </c>
      <c r="M20" s="24" t="inlineStr">
        <is>
          <t>Not assessed</t>
        </is>
      </c>
      <c r="N20" s="24" t="inlineStr">
        <is>
          <t>Not assessed</t>
        </is>
      </c>
      <c r="O20" s="35" t="n"/>
      <c r="P20" s="24" t="inlineStr">
        <is>
          <t>Not scheduled</t>
        </is>
      </c>
      <c r="Q20" s="24" t="n"/>
      <c r="R20" s="24" t="inlineStr">
        <is>
          <t>Per-tenant cards, no billing screen</t>
        </is>
      </c>
      <c r="S20" s="24" t="n"/>
      <c r="T20" s="24" t="n"/>
      <c r="U20" s="36" t="n">
        <v>46285</v>
      </c>
      <c r="V20" s="24" t="n"/>
      <c r="W20" s="15">
        <f>IF(P20="Production",IF(X20="Yes","Released","Review release"),IF(P20="Rolled back","Rolled back",IF(OR(Q20&lt;&gt;"",COUNTIFS(J20:N20,"Blocked")&gt;0),"Blocked",IF(OR(M20="Failed",N20="Rejected",AND(ISNUMBER(O20),O20&gt;0)),"Rework",IF(X20="Yes","Ready for release",IF(N20="Accepted","Verify completion",IF(OR(M20="Passed",M20="In progress",N20="In review"),"Testing / review",IF(OR(COUNTIFS(J20:L20,"In progress")&gt;0,COUNTIFS(J20:L20,"In review")&gt;0,COUNTIFS(J20:L20,"Done")&gt;0),"In progress",IF(COUNTIFS(J20:N20,"Not assessed")=5,"Not assessed","Planned")))))))))</f>
        <v/>
      </c>
      <c r="X20" s="15">
        <f>IF(AND(J20="Done",OR(K20="Done",K20="Not required"),OR(L20="Done",L20="Not required"),M20="Passed",N20="Accepted",ISNUMBER(O20),O20=0,Q20="",F20&lt;&gt;"",S20&lt;&gt;"",T20&lt;&gt;"",ISNUMBER(U20),OR(AND(K20&lt;&gt;"Not required",L20&lt;&gt;"Not required"),V20&lt;&gt;""),P20&lt;&gt;"Rolled back"),"Yes","No")</f>
        <v/>
      </c>
      <c r="Y20" s="15">
        <f>IF(X20="Yes","Completed",IF(H20="","No deadline",IF(NOT(ISNUMBER(H20)),"Check date",IF(H20&lt;Overview!$I$3,"Overdue",IF(H20&lt;=Overview!$I$3+7,"Due soon","On track")))))</f>
        <v/>
      </c>
      <c r="Z20" s="37">
        <f>IF(AND(X20&lt;&gt;"Yes",ISNUMBER(H20)),MAX(0,Overview!$I$3-H20),0)</f>
        <v/>
      </c>
      <c r="AA20" s="5" t="inlineStr">
        <is>
          <t>Super Admin</t>
        </is>
      </c>
      <c r="AB20" t="inlineStr">
        <is>
          <t>/super-admin/tenants/[id]</t>
        </is>
      </c>
    </row>
    <row r="21" ht="35" customHeight="1">
      <c r="A21" s="2" t="inlineStr">
        <is>
          <t>SCR-015</t>
        </is>
      </c>
      <c r="B21" s="5" t="inlineStr">
        <is>
          <t>Tenant Usage &amp; Limits</t>
        </is>
      </c>
      <c r="C21" s="5" t="inlineStr">
        <is>
          <t>Super Admin / SaaS Administration</t>
        </is>
      </c>
      <c r="D21" s="2" t="inlineStr">
        <is>
          <t>Phase 2</t>
        </is>
      </c>
      <c r="E21" s="2" t="inlineStr">
        <is>
          <t>US-0029, US-0030</t>
        </is>
      </c>
      <c r="F21" s="24" t="n"/>
      <c r="G21" s="24" t="n"/>
      <c r="H21" s="32" t="n"/>
      <c r="I21" s="2" t="inlineStr">
        <is>
          <t>Ready</t>
        </is>
      </c>
      <c r="J21" s="38" t="inlineStr">
        <is>
          <t>In progress</t>
        </is>
      </c>
      <c r="K21" s="33" t="inlineStr">
        <is>
          <t>Done</t>
        </is>
      </c>
      <c r="L21" s="24" t="inlineStr">
        <is>
          <t>Not assessed</t>
        </is>
      </c>
      <c r="M21" s="24" t="inlineStr">
        <is>
          <t>Not assessed</t>
        </is>
      </c>
      <c r="N21" s="24" t="inlineStr">
        <is>
          <t>Not assessed</t>
        </is>
      </c>
      <c r="O21" s="35" t="n"/>
      <c r="P21" s="24" t="inlineStr">
        <is>
          <t>Not scheduled</t>
        </is>
      </c>
      <c r="Q21" s="24" t="n"/>
      <c r="R21" s="24" t="inlineStr">
        <is>
          <t>Usage versus quota card only</t>
        </is>
      </c>
      <c r="S21" s="24" t="n"/>
      <c r="T21" s="24" t="n"/>
      <c r="U21" s="36" t="n">
        <v>46285</v>
      </c>
      <c r="V21" s="24" t="n"/>
      <c r="W21" s="15">
        <f>IF(P21="Production",IF(X21="Yes","Released","Review release"),IF(P21="Rolled back","Rolled back",IF(OR(Q21&lt;&gt;"",COUNTIFS(J21:N21,"Blocked")&gt;0),"Blocked",IF(OR(M21="Failed",N21="Rejected",AND(ISNUMBER(O21),O21&gt;0)),"Rework",IF(X21="Yes","Ready for release",IF(N21="Accepted","Verify completion",IF(OR(M21="Passed",M21="In progress",N21="In review"),"Testing / review",IF(OR(COUNTIFS(J21:L21,"In progress")&gt;0,COUNTIFS(J21:L21,"In review")&gt;0,COUNTIFS(J21:L21,"Done")&gt;0),"In progress",IF(COUNTIFS(J21:N21,"Not assessed")=5,"Not assessed","Planned")))))))))</f>
        <v/>
      </c>
      <c r="X21" s="15">
        <f>IF(AND(J21="Done",OR(K21="Done",K21="Not required"),OR(L21="Done",L21="Not required"),M21="Passed",N21="Accepted",ISNUMBER(O21),O21=0,Q21="",F21&lt;&gt;"",S21&lt;&gt;"",T21&lt;&gt;"",ISNUMBER(U21),OR(AND(K21&lt;&gt;"Not required",L21&lt;&gt;"Not required"),V21&lt;&gt;""),P21&lt;&gt;"Rolled back"),"Yes","No")</f>
        <v/>
      </c>
      <c r="Y21" s="15">
        <f>IF(X21="Yes","Completed",IF(H21="","No deadline",IF(NOT(ISNUMBER(H21)),"Check date",IF(H21&lt;Overview!$I$3,"Overdue",IF(H21&lt;=Overview!$I$3+7,"Due soon","On track")))))</f>
        <v/>
      </c>
      <c r="Z21" s="37">
        <f>IF(AND(X21&lt;&gt;"Yes",ISNUMBER(H21)),MAX(0,Overview!$I$3-H21),0)</f>
        <v/>
      </c>
      <c r="AA21" s="5" t="inlineStr">
        <is>
          <t>Super Admin</t>
        </is>
      </c>
      <c r="AB21" t="inlineStr">
        <is>
          <t>/super-admin/tenants/[id]</t>
        </is>
      </c>
    </row>
    <row r="22" ht="35" customHeight="1">
      <c r="A22" s="2" t="inlineStr">
        <is>
          <t>SCR-016</t>
        </is>
      </c>
      <c r="B22" s="5" t="inlineStr">
        <is>
          <t>Platform Users</t>
        </is>
      </c>
      <c r="C22" s="5" t="inlineStr">
        <is>
          <t>Super Admin / SaaS Administration</t>
        </is>
      </c>
      <c r="D22" s="2" t="inlineStr">
        <is>
          <t>Phase 3</t>
        </is>
      </c>
      <c r="E22" s="2" t="inlineStr">
        <is>
          <t>US-0031, US-0032</t>
        </is>
      </c>
      <c r="F22" s="24" t="n"/>
      <c r="G22" s="24" t="n"/>
      <c r="H22" s="32" t="n"/>
      <c r="I22" s="2" t="inlineStr">
        <is>
          <t>Ready</t>
        </is>
      </c>
      <c r="J22" s="39" t="inlineStr">
        <is>
          <t>Not started</t>
        </is>
      </c>
      <c r="K22" s="39" t="inlineStr">
        <is>
          <t>Not started</t>
        </is>
      </c>
      <c r="L22" s="24" t="inlineStr">
        <is>
          <t>Not assessed</t>
        </is>
      </c>
      <c r="M22" s="24" t="inlineStr">
        <is>
          <t>Not assessed</t>
        </is>
      </c>
      <c r="N22" s="24" t="inlineStr">
        <is>
          <t>Not assessed</t>
        </is>
      </c>
      <c r="O22" s="35" t="n"/>
      <c r="P22" s="24" t="inlineStr">
        <is>
          <t>Not scheduled</t>
        </is>
      </c>
      <c r="Q22" s="24" t="n"/>
      <c r="R22" s="24" t="inlineStr">
        <is>
          <t>No platform user management</t>
        </is>
      </c>
      <c r="S22" s="24" t="n"/>
      <c r="T22" s="24" t="n"/>
      <c r="U22" s="36" t="n">
        <v>46285</v>
      </c>
      <c r="V22" s="24" t="n"/>
      <c r="W22" s="15">
        <f>IF(P22="Production",IF(X22="Yes","Released","Review release"),IF(P22="Rolled back","Rolled back",IF(OR(Q22&lt;&gt;"",COUNTIFS(J22:N22,"Blocked")&gt;0),"Blocked",IF(OR(M22="Failed",N22="Rejected",AND(ISNUMBER(O22),O22&gt;0)),"Rework",IF(X22="Yes","Ready for release",IF(N22="Accepted","Verify completion",IF(OR(M22="Passed",M22="In progress",N22="In review"),"Testing / review",IF(OR(COUNTIFS(J22:L22,"In progress")&gt;0,COUNTIFS(J22:L22,"In review")&gt;0,COUNTIFS(J22:L22,"Done")&gt;0),"In progress",IF(COUNTIFS(J22:N22,"Not assessed")=5,"Not assessed","Planned")))))))))</f>
        <v/>
      </c>
      <c r="X22" s="15">
        <f>IF(AND(J22="Done",OR(K22="Done",K22="Not required"),OR(L22="Done",L22="Not required"),M22="Passed",N22="Accepted",ISNUMBER(O22),O22=0,Q22="",F22&lt;&gt;"",S22&lt;&gt;"",T22&lt;&gt;"",ISNUMBER(U22),OR(AND(K22&lt;&gt;"Not required",L22&lt;&gt;"Not required"),V22&lt;&gt;""),P22&lt;&gt;"Rolled back"),"Yes","No")</f>
        <v/>
      </c>
      <c r="Y22" s="15">
        <f>IF(X22="Yes","Completed",IF(H22="","No deadline",IF(NOT(ISNUMBER(H22)),"Check date",IF(H22&lt;Overview!$I$3,"Overdue",IF(H22&lt;=Overview!$I$3+7,"Due soon","On track")))))</f>
        <v/>
      </c>
      <c r="Z22" s="37">
        <f>IF(AND(X22&lt;&gt;"Yes",ISNUMBER(H22)),MAX(0,Overview!$I$3-H22),0)</f>
        <v/>
      </c>
      <c r="AA22" s="5" t="inlineStr">
        <is>
          <t>Super Admin</t>
        </is>
      </c>
      <c r="AB22" t="inlineStr">
        <is>
          <t>-</t>
        </is>
      </c>
    </row>
    <row r="23" ht="35" customHeight="1">
      <c r="A23" s="2" t="inlineStr">
        <is>
          <t>SCR-017</t>
        </is>
      </c>
      <c r="B23" s="5" t="inlineStr">
        <is>
          <t>Support Tickets</t>
        </is>
      </c>
      <c r="C23" s="5" t="inlineStr">
        <is>
          <t>Super Admin / SaaS Administration</t>
        </is>
      </c>
      <c r="D23" s="2" t="inlineStr">
        <is>
          <t>Phase 3</t>
        </is>
      </c>
      <c r="E23" s="2" t="inlineStr">
        <is>
          <t>US-0033, US-0034</t>
        </is>
      </c>
      <c r="F23" s="24" t="n"/>
      <c r="G23" s="24" t="n"/>
      <c r="H23" s="32" t="n"/>
      <c r="I23" s="2" t="inlineStr">
        <is>
          <t>Ready</t>
        </is>
      </c>
      <c r="J23" s="39" t="inlineStr">
        <is>
          <t>Not started</t>
        </is>
      </c>
      <c r="K23" s="39" t="inlineStr">
        <is>
          <t>Not started</t>
        </is>
      </c>
      <c r="L23" s="24" t="inlineStr">
        <is>
          <t>Not assessed</t>
        </is>
      </c>
      <c r="M23" s="24" t="inlineStr">
        <is>
          <t>Not assessed</t>
        </is>
      </c>
      <c r="N23" s="24" t="inlineStr">
        <is>
          <t>Not assessed</t>
        </is>
      </c>
      <c r="O23" s="35" t="n"/>
      <c r="P23" s="24" t="inlineStr">
        <is>
          <t>Not scheduled</t>
        </is>
      </c>
      <c r="Q23" s="24" t="n"/>
      <c r="R23" s="24" t="inlineStr">
        <is>
          <t>No ticketing anywhere</t>
        </is>
      </c>
      <c r="S23" s="24" t="n"/>
      <c r="T23" s="24" t="n"/>
      <c r="U23" s="36" t="n">
        <v>46285</v>
      </c>
      <c r="V23" s="24" t="n"/>
      <c r="W23" s="15">
        <f>IF(P23="Production",IF(X23="Yes","Released","Review release"),IF(P23="Rolled back","Rolled back",IF(OR(Q23&lt;&gt;"",COUNTIFS(J23:N23,"Blocked")&gt;0),"Blocked",IF(OR(M23="Failed",N23="Rejected",AND(ISNUMBER(O23),O23&gt;0)),"Rework",IF(X23="Yes","Ready for release",IF(N23="Accepted","Verify completion",IF(OR(M23="Passed",M23="In progress",N23="In review"),"Testing / review",IF(OR(COUNTIFS(J23:L23,"In progress")&gt;0,COUNTIFS(J23:L23,"In review")&gt;0,COUNTIFS(J23:L23,"Done")&gt;0),"In progress",IF(COUNTIFS(J23:N23,"Not assessed")=5,"Not assessed","Planned")))))))))</f>
        <v/>
      </c>
      <c r="X23" s="15">
        <f>IF(AND(J23="Done",OR(K23="Done",K23="Not required"),OR(L23="Done",L23="Not required"),M23="Passed",N23="Accepted",ISNUMBER(O23),O23=0,Q23="",F23&lt;&gt;"",S23&lt;&gt;"",T23&lt;&gt;"",ISNUMBER(U23),OR(AND(K23&lt;&gt;"Not required",L23&lt;&gt;"Not required"),V23&lt;&gt;""),P23&lt;&gt;"Rolled back"),"Yes","No")</f>
        <v/>
      </c>
      <c r="Y23" s="15">
        <f>IF(X23="Yes","Completed",IF(H23="","No deadline",IF(NOT(ISNUMBER(H23)),"Check date",IF(H23&lt;Overview!$I$3,"Overdue",IF(H23&lt;=Overview!$I$3+7,"Due soon","On track")))))</f>
        <v/>
      </c>
      <c r="Z23" s="37">
        <f>IF(AND(X23&lt;&gt;"Yes",ISNUMBER(H23)),MAX(0,Overview!$I$3-H23),0)</f>
        <v/>
      </c>
      <c r="AA23" s="5" t="inlineStr">
        <is>
          <t>Super Admin</t>
        </is>
      </c>
      <c r="AB23" t="inlineStr">
        <is>
          <t>-</t>
        </is>
      </c>
    </row>
    <row r="24" ht="35" customHeight="1">
      <c r="A24" s="2" t="inlineStr">
        <is>
          <t>SCR-018</t>
        </is>
      </c>
      <c r="B24" s="5" t="inlineStr">
        <is>
          <t>System Health &amp; Service Status</t>
        </is>
      </c>
      <c r="C24" s="5" t="inlineStr">
        <is>
          <t>Super Admin / SaaS Administration</t>
        </is>
      </c>
      <c r="D24" s="2" t="inlineStr">
        <is>
          <t>Phase 3</t>
        </is>
      </c>
      <c r="E24" s="2" t="inlineStr">
        <is>
          <t>US-0035, US-0036</t>
        </is>
      </c>
      <c r="F24" s="24" t="n"/>
      <c r="G24" s="24" t="n"/>
      <c r="H24" s="32" t="n"/>
      <c r="I24" s="2" t="inlineStr">
        <is>
          <t>Ready</t>
        </is>
      </c>
      <c r="J24" s="38" t="inlineStr">
        <is>
          <t>In progress</t>
        </is>
      </c>
      <c r="K24" s="38" t="inlineStr">
        <is>
          <t>In progress</t>
        </is>
      </c>
      <c r="L24" s="24" t="inlineStr">
        <is>
          <t>Not assessed</t>
        </is>
      </c>
      <c r="M24" s="24" t="inlineStr">
        <is>
          <t>Not assessed</t>
        </is>
      </c>
      <c r="N24" s="24" t="inlineStr">
        <is>
          <t>Not assessed</t>
        </is>
      </c>
      <c r="O24" s="35" t="n"/>
      <c r="P24" s="24" t="inlineStr">
        <is>
          <t>Not scheduled</t>
        </is>
      </c>
      <c r="Q24" s="24" t="n"/>
      <c r="R24" s="24" t="inlineStr">
        <is>
          <t>Online pill only, two health endpoints</t>
        </is>
      </c>
      <c r="S24" s="24" t="n"/>
      <c r="T24" s="24" t="n"/>
      <c r="U24" s="36" t="n">
        <v>46285</v>
      </c>
      <c r="V24" s="24" t="n"/>
      <c r="W24" s="15">
        <f>IF(P24="Production",IF(X24="Yes","Released","Review release"),IF(P24="Rolled back","Rolled back",IF(OR(Q24&lt;&gt;"",COUNTIFS(J24:N24,"Blocked")&gt;0),"Blocked",IF(OR(M24="Failed",N24="Rejected",AND(ISNUMBER(O24),O24&gt;0)),"Rework",IF(X24="Yes","Ready for release",IF(N24="Accepted","Verify completion",IF(OR(M24="Passed",M24="In progress",N24="In review"),"Testing / review",IF(OR(COUNTIFS(J24:L24,"In progress")&gt;0,COUNTIFS(J24:L24,"In review")&gt;0,COUNTIFS(J24:L24,"Done")&gt;0),"In progress",IF(COUNTIFS(J24:N24,"Not assessed")=5,"Not assessed","Planned")))))))))</f>
        <v/>
      </c>
      <c r="X24" s="15">
        <f>IF(AND(J24="Done",OR(K24="Done",K24="Not required"),OR(L24="Done",L24="Not required"),M24="Passed",N24="Accepted",ISNUMBER(O24),O24=0,Q24="",F24&lt;&gt;"",S24&lt;&gt;"",T24&lt;&gt;"",ISNUMBER(U24),OR(AND(K24&lt;&gt;"Not required",L24&lt;&gt;"Not required"),V24&lt;&gt;""),P24&lt;&gt;"Rolled back"),"Yes","No")</f>
        <v/>
      </c>
      <c r="Y24" s="15">
        <f>IF(X24="Yes","Completed",IF(H24="","No deadline",IF(NOT(ISNUMBER(H24)),"Check date",IF(H24&lt;Overview!$I$3,"Overdue",IF(H24&lt;=Overview!$I$3+7,"Due soon","On track")))))</f>
        <v/>
      </c>
      <c r="Z24" s="37">
        <f>IF(AND(X24&lt;&gt;"Yes",ISNUMBER(H24)),MAX(0,Overview!$I$3-H24),0)</f>
        <v/>
      </c>
      <c r="AA24" s="5" t="inlineStr">
        <is>
          <t>Super Admin</t>
        </is>
      </c>
      <c r="AB24" t="inlineStr">
        <is>
          <t>/</t>
        </is>
      </c>
    </row>
    <row r="25" ht="35" customHeight="1">
      <c r="A25" s="2" t="inlineStr">
        <is>
          <t>SCR-019</t>
        </is>
      </c>
      <c r="B25" s="5" t="inlineStr">
        <is>
          <t>Global Announcements</t>
        </is>
      </c>
      <c r="C25" s="5" t="inlineStr">
        <is>
          <t>Super Admin / SaaS Administration</t>
        </is>
      </c>
      <c r="D25" s="2" t="inlineStr">
        <is>
          <t>Phase 3</t>
        </is>
      </c>
      <c r="E25" s="2" t="inlineStr">
        <is>
          <t>US-0037, US-0038</t>
        </is>
      </c>
      <c r="F25" s="24" t="n"/>
      <c r="G25" s="24" t="n"/>
      <c r="H25" s="32" t="n"/>
      <c r="I25" s="2" t="inlineStr">
        <is>
          <t>Ready</t>
        </is>
      </c>
      <c r="J25" s="39" t="inlineStr">
        <is>
          <t>Not started</t>
        </is>
      </c>
      <c r="K25" s="39" t="inlineStr">
        <is>
          <t>Not started</t>
        </is>
      </c>
      <c r="L25" s="24" t="inlineStr">
        <is>
          <t>Not assessed</t>
        </is>
      </c>
      <c r="M25" s="24" t="inlineStr">
        <is>
          <t>Not assessed</t>
        </is>
      </c>
      <c r="N25" s="24" t="inlineStr">
        <is>
          <t>Not assessed</t>
        </is>
      </c>
      <c r="O25" s="35" t="n"/>
      <c r="P25" s="24" t="inlineStr">
        <is>
          <t>Not scheduled</t>
        </is>
      </c>
      <c r="Q25" s="24" t="n"/>
      <c r="R25" s="24" t="inlineStr">
        <is>
          <t>No global announcements</t>
        </is>
      </c>
      <c r="S25" s="24" t="n"/>
      <c r="T25" s="24" t="n"/>
      <c r="U25" s="36" t="n">
        <v>46285</v>
      </c>
      <c r="V25" s="24" t="n"/>
      <c r="W25" s="15">
        <f>IF(P25="Production",IF(X25="Yes","Released","Review release"),IF(P25="Rolled back","Rolled back",IF(OR(Q25&lt;&gt;"",COUNTIFS(J25:N25,"Blocked")&gt;0),"Blocked",IF(OR(M25="Failed",N25="Rejected",AND(ISNUMBER(O25),O25&gt;0)),"Rework",IF(X25="Yes","Ready for release",IF(N25="Accepted","Verify completion",IF(OR(M25="Passed",M25="In progress",N25="In review"),"Testing / review",IF(OR(COUNTIFS(J25:L25,"In progress")&gt;0,COUNTIFS(J25:L25,"In review")&gt;0,COUNTIFS(J25:L25,"Done")&gt;0),"In progress",IF(COUNTIFS(J25:N25,"Not assessed")=5,"Not assessed","Planned")))))))))</f>
        <v/>
      </c>
      <c r="X25" s="15">
        <f>IF(AND(J25="Done",OR(K25="Done",K25="Not required"),OR(L25="Done",L25="Not required"),M25="Passed",N25="Accepted",ISNUMBER(O25),O25=0,Q25="",F25&lt;&gt;"",S25&lt;&gt;"",T25&lt;&gt;"",ISNUMBER(U25),OR(AND(K25&lt;&gt;"Not required",L25&lt;&gt;"Not required"),V25&lt;&gt;""),P25&lt;&gt;"Rolled back"),"Yes","No")</f>
        <v/>
      </c>
      <c r="Y25" s="15">
        <f>IF(X25="Yes","Completed",IF(H25="","No deadline",IF(NOT(ISNUMBER(H25)),"Check date",IF(H25&lt;Overview!$I$3,"Overdue",IF(H25&lt;=Overview!$I$3+7,"Due soon","On track")))))</f>
        <v/>
      </c>
      <c r="Z25" s="37">
        <f>IF(AND(X25&lt;&gt;"Yes",ISNUMBER(H25)),MAX(0,Overview!$I$3-H25),0)</f>
        <v/>
      </c>
      <c r="AA25" s="5" t="inlineStr">
        <is>
          <t>Super Admin</t>
        </is>
      </c>
      <c r="AB25" t="inlineStr">
        <is>
          <t>-</t>
        </is>
      </c>
    </row>
    <row r="26" ht="35" customHeight="1">
      <c r="A26" s="2" t="inlineStr">
        <is>
          <t>SCR-020</t>
        </is>
      </c>
      <c r="B26" s="5" t="inlineStr">
        <is>
          <t>Platform Settings</t>
        </is>
      </c>
      <c r="C26" s="5" t="inlineStr">
        <is>
          <t>Super Admin / SaaS Administration</t>
        </is>
      </c>
      <c r="D26" s="2" t="inlineStr">
        <is>
          <t>Phase 3</t>
        </is>
      </c>
      <c r="E26" s="2" t="inlineStr">
        <is>
          <t>US-0039, US-0040</t>
        </is>
      </c>
      <c r="F26" s="24" t="n"/>
      <c r="G26" s="24" t="n"/>
      <c r="H26" s="32" t="n"/>
      <c r="I26" s="2" t="inlineStr">
        <is>
          <t>Ready</t>
        </is>
      </c>
      <c r="J26" s="39" t="inlineStr">
        <is>
          <t>Not started</t>
        </is>
      </c>
      <c r="K26" s="39" t="inlineStr">
        <is>
          <t>Not started</t>
        </is>
      </c>
      <c r="L26" s="24" t="inlineStr">
        <is>
          <t>Not assessed</t>
        </is>
      </c>
      <c r="M26" s="24" t="inlineStr">
        <is>
          <t>Not assessed</t>
        </is>
      </c>
      <c r="N26" s="24" t="inlineStr">
        <is>
          <t>Not assessed</t>
        </is>
      </c>
      <c r="O26" s="35" t="n"/>
      <c r="P26" s="24" t="inlineStr">
        <is>
          <t>Not scheduled</t>
        </is>
      </c>
      <c r="Q26" s="24" t="n"/>
      <c r="R26" s="24" t="inlineStr">
        <is>
          <t>No platform settings screen</t>
        </is>
      </c>
      <c r="S26" s="24" t="n"/>
      <c r="T26" s="24" t="n"/>
      <c r="U26" s="36" t="n">
        <v>46285</v>
      </c>
      <c r="V26" s="24" t="n"/>
      <c r="W26" s="15">
        <f>IF(P26="Production",IF(X26="Yes","Released","Review release"),IF(P26="Rolled back","Rolled back",IF(OR(Q26&lt;&gt;"",COUNTIFS(J26:N26,"Blocked")&gt;0),"Blocked",IF(OR(M26="Failed",N26="Rejected",AND(ISNUMBER(O26),O26&gt;0)),"Rework",IF(X26="Yes","Ready for release",IF(N26="Accepted","Verify completion",IF(OR(M26="Passed",M26="In progress",N26="In review"),"Testing / review",IF(OR(COUNTIFS(J26:L26,"In progress")&gt;0,COUNTIFS(J26:L26,"In review")&gt;0,COUNTIFS(J26:L26,"Done")&gt;0),"In progress",IF(COUNTIFS(J26:N26,"Not assessed")=5,"Not assessed","Planned")))))))))</f>
        <v/>
      </c>
      <c r="X26" s="15">
        <f>IF(AND(J26="Done",OR(K26="Done",K26="Not required"),OR(L26="Done",L26="Not required"),M26="Passed",N26="Accepted",ISNUMBER(O26),O26=0,Q26="",F26&lt;&gt;"",S26&lt;&gt;"",T26&lt;&gt;"",ISNUMBER(U26),OR(AND(K26&lt;&gt;"Not required",L26&lt;&gt;"Not required"),V26&lt;&gt;""),P26&lt;&gt;"Rolled back"),"Yes","No")</f>
        <v/>
      </c>
      <c r="Y26" s="15">
        <f>IF(X26="Yes","Completed",IF(H26="","No deadline",IF(NOT(ISNUMBER(H26)),"Check date",IF(H26&lt;Overview!$I$3,"Overdue",IF(H26&lt;=Overview!$I$3+7,"Due soon","On track")))))</f>
        <v/>
      </c>
      <c r="Z26" s="37">
        <f>IF(AND(X26&lt;&gt;"Yes",ISNUMBER(H26)),MAX(0,Overview!$I$3-H26),0)</f>
        <v/>
      </c>
      <c r="AA26" s="5" t="inlineStr">
        <is>
          <t>Super Admin</t>
        </is>
      </c>
      <c r="AB26" t="inlineStr">
        <is>
          <t>-</t>
        </is>
      </c>
    </row>
    <row r="27" ht="35" customHeight="1">
      <c r="A27" s="2" t="inlineStr">
        <is>
          <t>SCR-021</t>
        </is>
      </c>
      <c r="B27" s="5" t="inlineStr">
        <is>
          <t>Organization Profile</t>
        </is>
      </c>
      <c r="C27" s="5" t="inlineStr">
        <is>
          <t>Organization / School / Branch Setup</t>
        </is>
      </c>
      <c r="D27" s="2" t="inlineStr">
        <is>
          <t>MVP</t>
        </is>
      </c>
      <c r="E27" s="2" t="inlineStr">
        <is>
          <t>US-0041, US-0042</t>
        </is>
      </c>
      <c r="F27" s="24" t="n"/>
      <c r="G27" s="24" t="n"/>
      <c r="H27" s="32" t="n"/>
      <c r="I27" s="2" t="inlineStr">
        <is>
          <t>Ready</t>
        </is>
      </c>
      <c r="J27" s="38" t="inlineStr">
        <is>
          <t>In progress</t>
        </is>
      </c>
      <c r="K27" s="33" t="inlineStr">
        <is>
          <t>Done</t>
        </is>
      </c>
      <c r="L27" s="24" t="inlineStr">
        <is>
          <t>Not assessed</t>
        </is>
      </c>
      <c r="M27" s="24" t="inlineStr">
        <is>
          <t>Not assessed</t>
        </is>
      </c>
      <c r="N27" s="24" t="inlineStr">
        <is>
          <t>Not assessed</t>
        </is>
      </c>
      <c r="O27" s="35" t="n"/>
      <c r="P27" s="24" t="inlineStr">
        <is>
          <t>Not scheduled</t>
        </is>
      </c>
      <c r="Q27" s="24" t="n"/>
      <c r="R27" s="24" t="inlineStr">
        <is>
          <t>Read-only header; patch endpoint unused</t>
        </is>
      </c>
      <c r="S27" s="24" t="n"/>
      <c r="T27" s="24" t="n"/>
      <c r="U27" s="36" t="n">
        <v>46285</v>
      </c>
      <c r="V27" s="24" t="n"/>
      <c r="W27" s="15">
        <f>IF(P27="Production",IF(X27="Yes","Released","Review release"),IF(P27="Rolled back","Rolled back",IF(OR(Q27&lt;&gt;"",COUNTIFS(J27:N27,"Blocked")&gt;0),"Blocked",IF(OR(M27="Failed",N27="Rejected",AND(ISNUMBER(O27),O27&gt;0)),"Rework",IF(X27="Yes","Ready for release",IF(N27="Accepted","Verify completion",IF(OR(M27="Passed",M27="In progress",N27="In review"),"Testing / review",IF(OR(COUNTIFS(J27:L27,"In progress")&gt;0,COUNTIFS(J27:L27,"In review")&gt;0,COUNTIFS(J27:L27,"Done")&gt;0),"In progress",IF(COUNTIFS(J27:N27,"Not assessed")=5,"Not assessed","Planned")))))))))</f>
        <v/>
      </c>
      <c r="X27" s="15">
        <f>IF(AND(J27="Done",OR(K27="Done",K27="Not required"),OR(L27="Done",L27="Not required"),M27="Passed",N27="Accepted",ISNUMBER(O27),O27=0,Q27="",F27&lt;&gt;"",S27&lt;&gt;"",T27&lt;&gt;"",ISNUMBER(U27),OR(AND(K27&lt;&gt;"Not required",L27&lt;&gt;"Not required"),V27&lt;&gt;""),P27&lt;&gt;"Rolled back"),"Yes","No")</f>
        <v/>
      </c>
      <c r="Y27" s="15">
        <f>IF(X27="Yes","Completed",IF(H27="","No deadline",IF(NOT(ISNUMBER(H27)),"Check date",IF(H27&lt;Overview!$I$3,"Overdue",IF(H27&lt;=Overview!$I$3+7,"Due soon","On track")))))</f>
        <v/>
      </c>
      <c r="Z27" s="37">
        <f>IF(AND(X27&lt;&gt;"Yes",ISNUMBER(H27)),MAX(0,Overview!$I$3-H27),0)</f>
        <v/>
      </c>
      <c r="AA27" s="5" t="inlineStr">
        <is>
          <t>Super Admin</t>
        </is>
      </c>
      <c r="AB27" t="inlineStr">
        <is>
          <t>/super-admin/tenants/[id]</t>
        </is>
      </c>
    </row>
    <row r="28" ht="35" customHeight="1">
      <c r="A28" s="2" t="inlineStr">
        <is>
          <t>SCR-022</t>
        </is>
      </c>
      <c r="B28" s="5" t="inlineStr">
        <is>
          <t>Schools List</t>
        </is>
      </c>
      <c r="C28" s="5" t="inlineStr">
        <is>
          <t>Organization / School / Branch Setup</t>
        </is>
      </c>
      <c r="D28" s="2" t="inlineStr">
        <is>
          <t>MVP</t>
        </is>
      </c>
      <c r="E28" s="2" t="inlineStr">
        <is>
          <t>US-0043, US-0044</t>
        </is>
      </c>
      <c r="F28" s="24" t="n"/>
      <c r="G28" s="24" t="n"/>
      <c r="H28" s="32" t="n"/>
      <c r="I28" s="2" t="inlineStr">
        <is>
          <t>Ready</t>
        </is>
      </c>
      <c r="J28" s="38" t="inlineStr">
        <is>
          <t>In progress</t>
        </is>
      </c>
      <c r="K28" s="38" t="inlineStr">
        <is>
          <t>In progress</t>
        </is>
      </c>
      <c r="L28" s="24" t="inlineStr">
        <is>
          <t>Not assessed</t>
        </is>
      </c>
      <c r="M28" s="24" t="inlineStr">
        <is>
          <t>Not assessed</t>
        </is>
      </c>
      <c r="N28" s="24" t="inlineStr">
        <is>
          <t>Not assessed</t>
        </is>
      </c>
      <c r="O28" s="35" t="n"/>
      <c r="P28" s="24" t="inlineStr">
        <is>
          <t>Not scheduled</t>
        </is>
      </c>
      <c r="Q28" s="24" t="n"/>
      <c r="R28" s="24" t="inlineStr">
        <is>
          <t>Name and code list only</t>
        </is>
      </c>
      <c r="S28" s="24" t="n"/>
      <c r="T28" s="24" t="n"/>
      <c r="U28" s="36" t="n">
        <v>46285</v>
      </c>
      <c r="V28" s="24" t="n"/>
      <c r="W28" s="15">
        <f>IF(P28="Production",IF(X28="Yes","Released","Review release"),IF(P28="Rolled back","Rolled back",IF(OR(Q28&lt;&gt;"",COUNTIFS(J28:N28,"Blocked")&gt;0),"Blocked",IF(OR(M28="Failed",N28="Rejected",AND(ISNUMBER(O28),O28&gt;0)),"Rework",IF(X28="Yes","Ready for release",IF(N28="Accepted","Verify completion",IF(OR(M28="Passed",M28="In progress",N28="In review"),"Testing / review",IF(OR(COUNTIFS(J28:L28,"In progress")&gt;0,COUNTIFS(J28:L28,"In review")&gt;0,COUNTIFS(J28:L28,"Done")&gt;0),"In progress",IF(COUNTIFS(J28:N28,"Not assessed")=5,"Not assessed","Planned")))))))))</f>
        <v/>
      </c>
      <c r="X28" s="15">
        <f>IF(AND(J28="Done",OR(K28="Done",K28="Not required"),OR(L28="Done",L28="Not required"),M28="Passed",N28="Accepted",ISNUMBER(O28),O28=0,Q28="",F28&lt;&gt;"",S28&lt;&gt;"",T28&lt;&gt;"",ISNUMBER(U28),OR(AND(K28&lt;&gt;"Not required",L28&lt;&gt;"Not required"),V28&lt;&gt;""),P28&lt;&gt;"Rolled back"),"Yes","No")</f>
        <v/>
      </c>
      <c r="Y28" s="15">
        <f>IF(X28="Yes","Completed",IF(H28="","No deadline",IF(NOT(ISNUMBER(H28)),"Check date",IF(H28&lt;Overview!$I$3,"Overdue",IF(H28&lt;=Overview!$I$3+7,"Due soon","On track")))))</f>
        <v/>
      </c>
      <c r="Z28" s="37">
        <f>IF(AND(X28&lt;&gt;"Yes",ISNUMBER(H28)),MAX(0,Overview!$I$3-H28),0)</f>
        <v/>
      </c>
      <c r="AA28" s="5" t="inlineStr">
        <is>
          <t>Super Admin</t>
        </is>
      </c>
      <c r="AB28" t="inlineStr">
        <is>
          <t>/super-admin/tenants/[id]</t>
        </is>
      </c>
    </row>
    <row r="29" ht="35" customHeight="1">
      <c r="A29" s="2" t="inlineStr">
        <is>
          <t>SCR-023</t>
        </is>
      </c>
      <c r="B29" s="5" t="inlineStr">
        <is>
          <t>Add School</t>
        </is>
      </c>
      <c r="C29" s="5" t="inlineStr">
        <is>
          <t>Organization / School / Branch Setup</t>
        </is>
      </c>
      <c r="D29" s="2" t="inlineStr">
        <is>
          <t>MVP</t>
        </is>
      </c>
      <c r="E29" s="2" t="inlineStr">
        <is>
          <t>US-0045, US-0046</t>
        </is>
      </c>
      <c r="F29" s="24" t="n"/>
      <c r="G29" s="24" t="n"/>
      <c r="H29" s="32" t="n"/>
      <c r="I29" s="2" t="inlineStr">
        <is>
          <t>Ready</t>
        </is>
      </c>
      <c r="J29" s="38" t="inlineStr">
        <is>
          <t>In progress</t>
        </is>
      </c>
      <c r="K29" s="38" t="inlineStr">
        <is>
          <t>In progress</t>
        </is>
      </c>
      <c r="L29" s="24" t="inlineStr">
        <is>
          <t>Not assessed</t>
        </is>
      </c>
      <c r="M29" s="24" t="inlineStr">
        <is>
          <t>Not assessed</t>
        </is>
      </c>
      <c r="N29" s="24" t="inlineStr">
        <is>
          <t>Not assessed</t>
        </is>
      </c>
      <c r="O29" s="35" t="n"/>
      <c r="P29" s="24" t="inlineStr">
        <is>
          <t>Not scheduled</t>
        </is>
      </c>
      <c r="Q29" s="24" t="n"/>
      <c r="R29" s="24" t="inlineStr">
        <is>
          <t>School only creatable with a new tenant</t>
        </is>
      </c>
      <c r="S29" s="24" t="n"/>
      <c r="T29" s="24" t="n"/>
      <c r="U29" s="36" t="n">
        <v>46285</v>
      </c>
      <c r="V29" s="24" t="n"/>
      <c r="W29" s="15">
        <f>IF(P29="Production",IF(X29="Yes","Released","Review release"),IF(P29="Rolled back","Rolled back",IF(OR(Q29&lt;&gt;"",COUNTIFS(J29:N29,"Blocked")&gt;0),"Blocked",IF(OR(M29="Failed",N29="Rejected",AND(ISNUMBER(O29),O29&gt;0)),"Rework",IF(X29="Yes","Ready for release",IF(N29="Accepted","Verify completion",IF(OR(M29="Passed",M29="In progress",N29="In review"),"Testing / review",IF(OR(COUNTIFS(J29:L29,"In progress")&gt;0,COUNTIFS(J29:L29,"In review")&gt;0,COUNTIFS(J29:L29,"Done")&gt;0),"In progress",IF(COUNTIFS(J29:N29,"Not assessed")=5,"Not assessed","Planned")))))))))</f>
        <v/>
      </c>
      <c r="X29" s="15">
        <f>IF(AND(J29="Done",OR(K29="Done",K29="Not required"),OR(L29="Done",L29="Not required"),M29="Passed",N29="Accepted",ISNUMBER(O29),O29=0,Q29="",F29&lt;&gt;"",S29&lt;&gt;"",T29&lt;&gt;"",ISNUMBER(U29),OR(AND(K29&lt;&gt;"Not required",L29&lt;&gt;"Not required"),V29&lt;&gt;""),P29&lt;&gt;"Rolled back"),"Yes","No")</f>
        <v/>
      </c>
      <c r="Y29" s="15">
        <f>IF(X29="Yes","Completed",IF(H29="","No deadline",IF(NOT(ISNUMBER(H29)),"Check date",IF(H29&lt;Overview!$I$3,"Overdue",IF(H29&lt;=Overview!$I$3+7,"Due soon","On track")))))</f>
        <v/>
      </c>
      <c r="Z29" s="37">
        <f>IF(AND(X29&lt;&gt;"Yes",ISNUMBER(H29)),MAX(0,Overview!$I$3-H29),0)</f>
        <v/>
      </c>
      <c r="AA29" s="5" t="inlineStr">
        <is>
          <t>Super Admin</t>
        </is>
      </c>
      <c r="AB29" t="inlineStr">
        <is>
          <t>/super-admin/tenants</t>
        </is>
      </c>
    </row>
    <row r="30" ht="35" customHeight="1">
      <c r="A30" s="2" t="inlineStr">
        <is>
          <t>SCR-024</t>
        </is>
      </c>
      <c r="B30" s="5" t="inlineStr">
        <is>
          <t>School Details</t>
        </is>
      </c>
      <c r="C30" s="5" t="inlineStr">
        <is>
          <t>Organization / School / Branch Setup</t>
        </is>
      </c>
      <c r="D30" s="2" t="inlineStr">
        <is>
          <t>MVP</t>
        </is>
      </c>
      <c r="E30" s="2" t="inlineStr">
        <is>
          <t>US-0047, US-0048</t>
        </is>
      </c>
      <c r="F30" s="24" t="n"/>
      <c r="G30" s="24" t="n"/>
      <c r="H30" s="32" t="n"/>
      <c r="I30" s="2" t="inlineStr">
        <is>
          <t>Ready</t>
        </is>
      </c>
      <c r="J30" s="33" t="inlineStr">
        <is>
          <t>Done</t>
        </is>
      </c>
      <c r="K30" s="33" t="inlineStr">
        <is>
          <t>Done</t>
        </is>
      </c>
      <c r="L30" s="24" t="inlineStr">
        <is>
          <t>Not assessed</t>
        </is>
      </c>
      <c r="M30" s="24" t="inlineStr">
        <is>
          <t>Not assessed</t>
        </is>
      </c>
      <c r="N30" s="24" t="inlineStr">
        <is>
          <t>Not assessed</t>
        </is>
      </c>
      <c r="O30" s="35" t="n"/>
      <c r="P30" s="24" t="inlineStr">
        <is>
          <t>Not scheduled</t>
        </is>
      </c>
      <c r="Q30" s="24" t="n"/>
      <c r="R30" s="24" t="inlineStr">
        <is>
          <t>Identity, contacts, address, timezone, currency</t>
        </is>
      </c>
      <c r="S30" s="24" t="n"/>
      <c r="T30" s="24" t="n"/>
      <c r="U30" s="36" t="n">
        <v>46285</v>
      </c>
      <c r="V30" s="24" t="n"/>
      <c r="W30" s="15">
        <f>IF(P30="Production",IF(X30="Yes","Released","Review release"),IF(P30="Rolled back","Rolled back",IF(OR(Q30&lt;&gt;"",COUNTIFS(J30:N30,"Blocked")&gt;0),"Blocked",IF(OR(M30="Failed",N30="Rejected",AND(ISNUMBER(O30),O30&gt;0)),"Rework",IF(X30="Yes","Ready for release",IF(N30="Accepted","Verify completion",IF(OR(M30="Passed",M30="In progress",N30="In review"),"Testing / review",IF(OR(COUNTIFS(J30:L30,"In progress")&gt;0,COUNTIFS(J30:L30,"In review")&gt;0,COUNTIFS(J30:L30,"Done")&gt;0),"In progress",IF(COUNTIFS(J30:N30,"Not assessed")=5,"Not assessed","Planned")))))))))</f>
        <v/>
      </c>
      <c r="X30" s="15">
        <f>IF(AND(J30="Done",OR(K30="Done",K30="Not required"),OR(L30="Done",L30="Not required"),M30="Passed",N30="Accepted",ISNUMBER(O30),O30=0,Q30="",F30&lt;&gt;"",S30&lt;&gt;"",T30&lt;&gt;"",ISNUMBER(U30),OR(AND(K30&lt;&gt;"Not required",L30&lt;&gt;"Not required"),V30&lt;&gt;""),P30&lt;&gt;"Rolled back"),"Yes","No")</f>
        <v/>
      </c>
      <c r="Y30" s="15">
        <f>IF(X30="Yes","Completed",IF(H30="","No deadline",IF(NOT(ISNUMBER(H30)),"Check date",IF(H30&lt;Overview!$I$3,"Overdue",IF(H30&lt;=Overview!$I$3+7,"Due soon","On track")))))</f>
        <v/>
      </c>
      <c r="Z30" s="37">
        <f>IF(AND(X30&lt;&gt;"Yes",ISNUMBER(H30)),MAX(0,Overview!$I$3-H30),0)</f>
        <v/>
      </c>
      <c r="AA30" s="5" t="inlineStr">
        <is>
          <t>Super Admin</t>
        </is>
      </c>
      <c r="AB30" t="inlineStr">
        <is>
          <t>/school/profile</t>
        </is>
      </c>
    </row>
    <row r="31" ht="35" customHeight="1">
      <c r="A31" s="2" t="inlineStr">
        <is>
          <t>SCR-025</t>
        </is>
      </c>
      <c r="B31" s="5" t="inlineStr">
        <is>
          <t>Branches List</t>
        </is>
      </c>
      <c r="C31" s="5" t="inlineStr">
        <is>
          <t>Organization / School / Branch Setup</t>
        </is>
      </c>
      <c r="D31" s="2" t="inlineStr">
        <is>
          <t>MVP</t>
        </is>
      </c>
      <c r="E31" s="2" t="inlineStr">
        <is>
          <t>US-0049, US-0050</t>
        </is>
      </c>
      <c r="F31" s="24" t="n"/>
      <c r="G31" s="24" t="n"/>
      <c r="H31" s="32" t="n"/>
      <c r="I31" s="2" t="inlineStr">
        <is>
          <t>Ready</t>
        </is>
      </c>
      <c r="J31" s="33" t="inlineStr">
        <is>
          <t>Done</t>
        </is>
      </c>
      <c r="K31" s="33" t="inlineStr">
        <is>
          <t>Done</t>
        </is>
      </c>
      <c r="L31" s="24" t="inlineStr">
        <is>
          <t>Not assessed</t>
        </is>
      </c>
      <c r="M31" s="24" t="inlineStr">
        <is>
          <t>Not assessed</t>
        </is>
      </c>
      <c r="N31" s="24" t="inlineStr">
        <is>
          <t>Not assessed</t>
        </is>
      </c>
      <c r="O31" s="35" t="n"/>
      <c r="P31" s="24" t="inlineStr">
        <is>
          <t>Not scheduled</t>
        </is>
      </c>
      <c r="Q31" s="24" t="n"/>
      <c r="R31" s="24" t="inlineStr">
        <is>
          <t>Branches table with head and counts</t>
        </is>
      </c>
      <c r="S31" s="24" t="n"/>
      <c r="T31" s="24" t="n"/>
      <c r="U31" s="36" t="n">
        <v>46285</v>
      </c>
      <c r="V31" s="24" t="n"/>
      <c r="W31" s="15">
        <f>IF(P31="Production",IF(X31="Yes","Released","Review release"),IF(P31="Rolled back","Rolled back",IF(OR(Q31&lt;&gt;"",COUNTIFS(J31:N31,"Blocked")&gt;0),"Blocked",IF(OR(M31="Failed",N31="Rejected",AND(ISNUMBER(O31),O31&gt;0)),"Rework",IF(X31="Yes","Ready for release",IF(N31="Accepted","Verify completion",IF(OR(M31="Passed",M31="In progress",N31="In review"),"Testing / review",IF(OR(COUNTIFS(J31:L31,"In progress")&gt;0,COUNTIFS(J31:L31,"In review")&gt;0,COUNTIFS(J31:L31,"Done")&gt;0),"In progress",IF(COUNTIFS(J31:N31,"Not assessed")=5,"Not assessed","Planned")))))))))</f>
        <v/>
      </c>
      <c r="X31" s="15">
        <f>IF(AND(J31="Done",OR(K31="Done",K31="Not required"),OR(L31="Done",L31="Not required"),M31="Passed",N31="Accepted",ISNUMBER(O31),O31=0,Q31="",F31&lt;&gt;"",S31&lt;&gt;"",T31&lt;&gt;"",ISNUMBER(U31),OR(AND(K31&lt;&gt;"Not required",L31&lt;&gt;"Not required"),V31&lt;&gt;""),P31&lt;&gt;"Rolled back"),"Yes","No")</f>
        <v/>
      </c>
      <c r="Y31" s="15">
        <f>IF(X31="Yes","Completed",IF(H31="","No deadline",IF(NOT(ISNUMBER(H31)),"Check date",IF(H31&lt;Overview!$I$3,"Overdue",IF(H31&lt;=Overview!$I$3+7,"Due soon","On track")))))</f>
        <v/>
      </c>
      <c r="Z31" s="37">
        <f>IF(AND(X31&lt;&gt;"Yes",ISNUMBER(H31)),MAX(0,Overview!$I$3-H31),0)</f>
        <v/>
      </c>
      <c r="AA31" s="5" t="inlineStr">
        <is>
          <t>Super Admin</t>
        </is>
      </c>
      <c r="AB31" t="inlineStr">
        <is>
          <t>/school/roles</t>
        </is>
      </c>
    </row>
    <row r="32" ht="35" customHeight="1">
      <c r="A32" s="2" t="inlineStr">
        <is>
          <t>SCR-026</t>
        </is>
      </c>
      <c r="B32" s="5" t="inlineStr">
        <is>
          <t>Add Branch</t>
        </is>
      </c>
      <c r="C32" s="5" t="inlineStr">
        <is>
          <t>Organization / School / Branch Setup</t>
        </is>
      </c>
      <c r="D32" s="2" t="inlineStr">
        <is>
          <t>MVP</t>
        </is>
      </c>
      <c r="E32" s="2" t="inlineStr">
        <is>
          <t>US-0051, US-0052</t>
        </is>
      </c>
      <c r="F32" s="24" t="n"/>
      <c r="G32" s="24" t="n"/>
      <c r="H32" s="32" t="n"/>
      <c r="I32" s="2" t="inlineStr">
        <is>
          <t>Ready</t>
        </is>
      </c>
      <c r="J32" s="33" t="inlineStr">
        <is>
          <t>Done</t>
        </is>
      </c>
      <c r="K32" s="33" t="inlineStr">
        <is>
          <t>Done</t>
        </is>
      </c>
      <c r="L32" s="24" t="inlineStr">
        <is>
          <t>Not assessed</t>
        </is>
      </c>
      <c r="M32" s="24" t="inlineStr">
        <is>
          <t>Not assessed</t>
        </is>
      </c>
      <c r="N32" s="24" t="inlineStr">
        <is>
          <t>Not assessed</t>
        </is>
      </c>
      <c r="O32" s="35" t="n"/>
      <c r="P32" s="24" t="inlineStr">
        <is>
          <t>Not scheduled</t>
        </is>
      </c>
      <c r="Q32" s="24" t="n"/>
      <c r="R32" s="24" t="inlineStr">
        <is>
          <t>Inline branch form with head and main flag</t>
        </is>
      </c>
      <c r="S32" s="24" t="n"/>
      <c r="T32" s="24" t="n"/>
      <c r="U32" s="36" t="n">
        <v>46285</v>
      </c>
      <c r="V32" s="24" t="n"/>
      <c r="W32" s="15">
        <f>IF(P32="Production",IF(X32="Yes","Released","Review release"),IF(P32="Rolled back","Rolled back",IF(OR(Q32&lt;&gt;"",COUNTIFS(J32:N32,"Blocked")&gt;0),"Blocked",IF(OR(M32="Failed",N32="Rejected",AND(ISNUMBER(O32),O32&gt;0)),"Rework",IF(X32="Yes","Ready for release",IF(N32="Accepted","Verify completion",IF(OR(M32="Passed",M32="In progress",N32="In review"),"Testing / review",IF(OR(COUNTIFS(J32:L32,"In progress")&gt;0,COUNTIFS(J32:L32,"In review")&gt;0,COUNTIFS(J32:L32,"Done")&gt;0),"In progress",IF(COUNTIFS(J32:N32,"Not assessed")=5,"Not assessed","Planned")))))))))</f>
        <v/>
      </c>
      <c r="X32" s="15">
        <f>IF(AND(J32="Done",OR(K32="Done",K32="Not required"),OR(L32="Done",L32="Not required"),M32="Passed",N32="Accepted",ISNUMBER(O32),O32=0,Q32="",F32&lt;&gt;"",S32&lt;&gt;"",T32&lt;&gt;"",ISNUMBER(U32),OR(AND(K32&lt;&gt;"Not required",L32&lt;&gt;"Not required"),V32&lt;&gt;""),P32&lt;&gt;"Rolled back"),"Yes","No")</f>
        <v/>
      </c>
      <c r="Y32" s="15">
        <f>IF(X32="Yes","Completed",IF(H32="","No deadline",IF(NOT(ISNUMBER(H32)),"Check date",IF(H32&lt;Overview!$I$3,"Overdue",IF(H32&lt;=Overview!$I$3+7,"Due soon","On track")))))</f>
        <v/>
      </c>
      <c r="Z32" s="37">
        <f>IF(AND(X32&lt;&gt;"Yes",ISNUMBER(H32)),MAX(0,Overview!$I$3-H32),0)</f>
        <v/>
      </c>
      <c r="AA32" s="5" t="inlineStr">
        <is>
          <t>Super Admin</t>
        </is>
      </c>
      <c r="AB32" t="inlineStr">
        <is>
          <t>/school/roles</t>
        </is>
      </c>
    </row>
    <row r="33" ht="35" customHeight="1">
      <c r="A33" s="2" t="inlineStr">
        <is>
          <t>SCR-027</t>
        </is>
      </c>
      <c r="B33" s="5" t="inlineStr">
        <is>
          <t>Branch Details</t>
        </is>
      </c>
      <c r="C33" s="5" t="inlineStr">
        <is>
          <t>Organization / School / Branch Setup</t>
        </is>
      </c>
      <c r="D33" s="2" t="inlineStr">
        <is>
          <t>MVP</t>
        </is>
      </c>
      <c r="E33" s="2" t="inlineStr">
        <is>
          <t>US-0053, US-0054</t>
        </is>
      </c>
      <c r="F33" s="24" t="n"/>
      <c r="G33" s="24" t="n"/>
      <c r="H33" s="32" t="n"/>
      <c r="I33" s="2" t="inlineStr">
        <is>
          <t>Ready</t>
        </is>
      </c>
      <c r="J33" s="38" t="inlineStr">
        <is>
          <t>In progress</t>
        </is>
      </c>
      <c r="K33" s="33" t="inlineStr">
        <is>
          <t>Done</t>
        </is>
      </c>
      <c r="L33" s="24" t="inlineStr">
        <is>
          <t>Not assessed</t>
        </is>
      </c>
      <c r="M33" s="24" t="inlineStr">
        <is>
          <t>Not assessed</t>
        </is>
      </c>
      <c r="N33" s="24" t="inlineStr">
        <is>
          <t>Not assessed</t>
        </is>
      </c>
      <c r="O33" s="35" t="n"/>
      <c r="P33" s="24" t="inlineStr">
        <is>
          <t>Not scheduled</t>
        </is>
      </c>
      <c r="Q33" s="24" t="n"/>
      <c r="R33" s="24" t="inlineStr">
        <is>
          <t>Edit form, no branch detail page</t>
        </is>
      </c>
      <c r="S33" s="24" t="n"/>
      <c r="T33" s="24" t="n"/>
      <c r="U33" s="36" t="n">
        <v>46285</v>
      </c>
      <c r="V33" s="24" t="n"/>
      <c r="W33" s="15">
        <f>IF(P33="Production",IF(X33="Yes","Released","Review release"),IF(P33="Rolled back","Rolled back",IF(OR(Q33&lt;&gt;"",COUNTIFS(J33:N33,"Blocked")&gt;0),"Blocked",IF(OR(M33="Failed",N33="Rejected",AND(ISNUMBER(O33),O33&gt;0)),"Rework",IF(X33="Yes","Ready for release",IF(N33="Accepted","Verify completion",IF(OR(M33="Passed",M33="In progress",N33="In review"),"Testing / review",IF(OR(COUNTIFS(J33:L33,"In progress")&gt;0,COUNTIFS(J33:L33,"In review")&gt;0,COUNTIFS(J33:L33,"Done")&gt;0),"In progress",IF(COUNTIFS(J33:N33,"Not assessed")=5,"Not assessed","Planned")))))))))</f>
        <v/>
      </c>
      <c r="X33" s="15">
        <f>IF(AND(J33="Done",OR(K33="Done",K33="Not required"),OR(L33="Done",L33="Not required"),M33="Passed",N33="Accepted",ISNUMBER(O33),O33=0,Q33="",F33&lt;&gt;"",S33&lt;&gt;"",T33&lt;&gt;"",ISNUMBER(U33),OR(AND(K33&lt;&gt;"Not required",L33&lt;&gt;"Not required"),V33&lt;&gt;""),P33&lt;&gt;"Rolled back"),"Yes","No")</f>
        <v/>
      </c>
      <c r="Y33" s="15">
        <f>IF(X33="Yes","Completed",IF(H33="","No deadline",IF(NOT(ISNUMBER(H33)),"Check date",IF(H33&lt;Overview!$I$3,"Overdue",IF(H33&lt;=Overview!$I$3+7,"Due soon","On track")))))</f>
        <v/>
      </c>
      <c r="Z33" s="37">
        <f>IF(AND(X33&lt;&gt;"Yes",ISNUMBER(H33)),MAX(0,Overview!$I$3-H33),0)</f>
        <v/>
      </c>
      <c r="AA33" s="5" t="inlineStr">
        <is>
          <t>Super Admin</t>
        </is>
      </c>
      <c r="AB33" t="inlineStr">
        <is>
          <t>/school/roles</t>
        </is>
      </c>
    </row>
    <row r="34" ht="35" customHeight="1">
      <c r="A34" s="2" t="inlineStr">
        <is>
          <t>SCR-028</t>
        </is>
      </c>
      <c r="B34" s="5" t="inlineStr">
        <is>
          <t>Academic Year Setup</t>
        </is>
      </c>
      <c r="C34" s="5" t="inlineStr">
        <is>
          <t>Organization / School / Branch Setup</t>
        </is>
      </c>
      <c r="D34" s="2" t="inlineStr">
        <is>
          <t>MVP</t>
        </is>
      </c>
      <c r="E34" s="2" t="inlineStr">
        <is>
          <t>US-0055, US-0056</t>
        </is>
      </c>
      <c r="F34" s="24" t="n"/>
      <c r="G34" s="24" t="n"/>
      <c r="H34" s="32" t="n"/>
      <c r="I34" s="2" t="inlineStr">
        <is>
          <t>Ready</t>
        </is>
      </c>
      <c r="J34" s="33" t="inlineStr">
        <is>
          <t>Done</t>
        </is>
      </c>
      <c r="K34" s="33" t="inlineStr">
        <is>
          <t>Done</t>
        </is>
      </c>
      <c r="L34" s="24" t="inlineStr">
        <is>
          <t>Not assessed</t>
        </is>
      </c>
      <c r="M34" s="24" t="inlineStr">
        <is>
          <t>Not assessed</t>
        </is>
      </c>
      <c r="N34" s="24" t="inlineStr">
        <is>
          <t>Not assessed</t>
        </is>
      </c>
      <c r="O34" s="35" t="n"/>
      <c r="P34" s="24" t="inlineStr">
        <is>
          <t>Not scheduled</t>
        </is>
      </c>
      <c r="Q34" s="24" t="n"/>
      <c r="R34" s="24" t="inlineStr">
        <is>
          <t>Create, set current, archive, terms</t>
        </is>
      </c>
      <c r="S34" s="24" t="n"/>
      <c r="T34" s="24" t="n"/>
      <c r="U34" s="36" t="n">
        <v>46285</v>
      </c>
      <c r="V34" s="24" t="n"/>
      <c r="W34" s="15">
        <f>IF(P34="Production",IF(X34="Yes","Released","Review release"),IF(P34="Rolled back","Rolled back",IF(OR(Q34&lt;&gt;"",COUNTIFS(J34:N34,"Blocked")&gt;0),"Blocked",IF(OR(M34="Failed",N34="Rejected",AND(ISNUMBER(O34),O34&gt;0)),"Rework",IF(X34="Yes","Ready for release",IF(N34="Accepted","Verify completion",IF(OR(M34="Passed",M34="In progress",N34="In review"),"Testing / review",IF(OR(COUNTIFS(J34:L34,"In progress")&gt;0,COUNTIFS(J34:L34,"In review")&gt;0,COUNTIFS(J34:L34,"Done")&gt;0),"In progress",IF(COUNTIFS(J34:N34,"Not assessed")=5,"Not assessed","Planned")))))))))</f>
        <v/>
      </c>
      <c r="X34" s="15">
        <f>IF(AND(J34="Done",OR(K34="Done",K34="Not required"),OR(L34="Done",L34="Not required"),M34="Passed",N34="Accepted",ISNUMBER(O34),O34=0,Q34="",F34&lt;&gt;"",S34&lt;&gt;"",T34&lt;&gt;"",ISNUMBER(U34),OR(AND(K34&lt;&gt;"Not required",L34&lt;&gt;"Not required"),V34&lt;&gt;""),P34&lt;&gt;"Rolled back"),"Yes","No")</f>
        <v/>
      </c>
      <c r="Y34" s="15">
        <f>IF(X34="Yes","Completed",IF(H34="","No deadline",IF(NOT(ISNUMBER(H34)),"Check date",IF(H34&lt;Overview!$I$3,"Overdue",IF(H34&lt;=Overview!$I$3+7,"Due soon","On track")))))</f>
        <v/>
      </c>
      <c r="Z34" s="37">
        <f>IF(AND(X34&lt;&gt;"Yes",ISNUMBER(H34)),MAX(0,Overview!$I$3-H34),0)</f>
        <v/>
      </c>
      <c r="AA34" s="5" t="inlineStr">
        <is>
          <t>Super Admin</t>
        </is>
      </c>
      <c r="AB34" t="inlineStr">
        <is>
          <t>/school/academic-years</t>
        </is>
      </c>
    </row>
    <row r="35" ht="35" customHeight="1">
      <c r="A35" s="2" t="inlineStr">
        <is>
          <t>SCR-029</t>
        </is>
      </c>
      <c r="B35" s="5" t="inlineStr">
        <is>
          <t>Grade / Class Setup</t>
        </is>
      </c>
      <c r="C35" s="5" t="inlineStr">
        <is>
          <t>Organization / School / Branch Setup</t>
        </is>
      </c>
      <c r="D35" s="2" t="inlineStr">
        <is>
          <t>Phase 2</t>
        </is>
      </c>
      <c r="E35" s="2" t="inlineStr">
        <is>
          <t>US-0057, US-0058</t>
        </is>
      </c>
      <c r="F35" s="24" t="n"/>
      <c r="G35" s="24" t="n"/>
      <c r="H35" s="32" t="n"/>
      <c r="I35" s="2" t="inlineStr">
        <is>
          <t>Ready</t>
        </is>
      </c>
      <c r="J35" s="33" t="inlineStr">
        <is>
          <t>Done</t>
        </is>
      </c>
      <c r="K35" s="33" t="inlineStr">
        <is>
          <t>Done</t>
        </is>
      </c>
      <c r="L35" s="24" t="inlineStr">
        <is>
          <t>Not assessed</t>
        </is>
      </c>
      <c r="M35" s="24" t="inlineStr">
        <is>
          <t>Not assessed</t>
        </is>
      </c>
      <c r="N35" s="24" t="inlineStr">
        <is>
          <t>Not assessed</t>
        </is>
      </c>
      <c r="O35" s="35" t="n"/>
      <c r="P35" s="24" t="inlineStr">
        <is>
          <t>Not scheduled</t>
        </is>
      </c>
      <c r="Q35" s="24" t="n"/>
      <c r="R35" s="24" t="inlineStr">
        <is>
          <t>Create, rename, delete, reorder</t>
        </is>
      </c>
      <c r="S35" s="24" t="n"/>
      <c r="T35" s="24" t="n"/>
      <c r="U35" s="36" t="n">
        <v>46285</v>
      </c>
      <c r="V35" s="24" t="n"/>
      <c r="W35" s="15">
        <f>IF(P35="Production",IF(X35="Yes","Released","Review release"),IF(P35="Rolled back","Rolled back",IF(OR(Q35&lt;&gt;"",COUNTIFS(J35:N35,"Blocked")&gt;0),"Blocked",IF(OR(M35="Failed",N35="Rejected",AND(ISNUMBER(O35),O35&gt;0)),"Rework",IF(X35="Yes","Ready for release",IF(N35="Accepted","Verify completion",IF(OR(M35="Passed",M35="In progress",N35="In review"),"Testing / review",IF(OR(COUNTIFS(J35:L35,"In progress")&gt;0,COUNTIFS(J35:L35,"In review")&gt;0,COUNTIFS(J35:L35,"Done")&gt;0),"In progress",IF(COUNTIFS(J35:N35,"Not assessed")=5,"Not assessed","Planned")))))))))</f>
        <v/>
      </c>
      <c r="X35" s="15">
        <f>IF(AND(J35="Done",OR(K35="Done",K35="Not required"),OR(L35="Done",L35="Not required"),M35="Passed",N35="Accepted",ISNUMBER(O35),O35=0,Q35="",F35&lt;&gt;"",S35&lt;&gt;"",T35&lt;&gt;"",ISNUMBER(U35),OR(AND(K35&lt;&gt;"Not required",L35&lt;&gt;"Not required"),V35&lt;&gt;""),P35&lt;&gt;"Rolled back"),"Yes","No")</f>
        <v/>
      </c>
      <c r="Y35" s="15">
        <f>IF(X35="Yes","Completed",IF(H35="","No deadline",IF(NOT(ISNUMBER(H35)),"Check date",IF(H35&lt;Overview!$I$3,"Overdue",IF(H35&lt;=Overview!$I$3+7,"Due soon","On track")))))</f>
        <v/>
      </c>
      <c r="Z35" s="37">
        <f>IF(AND(X35&lt;&gt;"Yes",ISNUMBER(H35)),MAX(0,Overview!$I$3-H35),0)</f>
        <v/>
      </c>
      <c r="AA35" s="5" t="inlineStr">
        <is>
          <t>Super Admin</t>
        </is>
      </c>
      <c r="AB35" t="inlineStr">
        <is>
          <t>/school/classes</t>
        </is>
      </c>
    </row>
    <row r="36" ht="35" customHeight="1">
      <c r="A36" s="2" t="inlineStr">
        <is>
          <t>SCR-030</t>
        </is>
      </c>
      <c r="B36" s="5" t="inlineStr">
        <is>
          <t>Section Setup</t>
        </is>
      </c>
      <c r="C36" s="5" t="inlineStr">
        <is>
          <t>Organization / School / Branch Setup</t>
        </is>
      </c>
      <c r="D36" s="2" t="inlineStr">
        <is>
          <t>Phase 2</t>
        </is>
      </c>
      <c r="E36" s="2" t="inlineStr">
        <is>
          <t>US-0059, US-0060</t>
        </is>
      </c>
      <c r="F36" s="24" t="n"/>
      <c r="G36" s="24" t="n"/>
      <c r="H36" s="32" t="n"/>
      <c r="I36" s="2" t="inlineStr">
        <is>
          <t>Ready</t>
        </is>
      </c>
      <c r="J36" s="33" t="inlineStr">
        <is>
          <t>Done</t>
        </is>
      </c>
      <c r="K36" s="33" t="inlineStr">
        <is>
          <t>Done</t>
        </is>
      </c>
      <c r="L36" s="24" t="inlineStr">
        <is>
          <t>Not assessed</t>
        </is>
      </c>
      <c r="M36" s="24" t="inlineStr">
        <is>
          <t>Not assessed</t>
        </is>
      </c>
      <c r="N36" s="24" t="inlineStr">
        <is>
          <t>Not assessed</t>
        </is>
      </c>
      <c r="O36" s="35" t="n"/>
      <c r="P36" s="24" t="inlineStr">
        <is>
          <t>Not scheduled</t>
        </is>
      </c>
      <c r="Q36" s="24" t="n"/>
      <c r="R36" s="24" t="inlineStr">
        <is>
          <t>Sections plus subject and teacher assignment</t>
        </is>
      </c>
      <c r="S36" s="24" t="n"/>
      <c r="T36" s="24" t="n"/>
      <c r="U36" s="36" t="n">
        <v>46285</v>
      </c>
      <c r="V36" s="24" t="n"/>
      <c r="W36" s="15">
        <f>IF(P36="Production",IF(X36="Yes","Released","Review release"),IF(P36="Rolled back","Rolled back",IF(OR(Q36&lt;&gt;"",COUNTIFS(J36:N36,"Blocked")&gt;0),"Blocked",IF(OR(M36="Failed",N36="Rejected",AND(ISNUMBER(O36),O36&gt;0)),"Rework",IF(X36="Yes","Ready for release",IF(N36="Accepted","Verify completion",IF(OR(M36="Passed",M36="In progress",N36="In review"),"Testing / review",IF(OR(COUNTIFS(J36:L36,"In progress")&gt;0,COUNTIFS(J36:L36,"In review")&gt;0,COUNTIFS(J36:L36,"Done")&gt;0),"In progress",IF(COUNTIFS(J36:N36,"Not assessed")=5,"Not assessed","Planned")))))))))</f>
        <v/>
      </c>
      <c r="X36" s="15">
        <f>IF(AND(J36="Done",OR(K36="Done",K36="Not required"),OR(L36="Done",L36="Not required"),M36="Passed",N36="Accepted",ISNUMBER(O36),O36=0,Q36="",F36&lt;&gt;"",S36&lt;&gt;"",T36&lt;&gt;"",ISNUMBER(U36),OR(AND(K36&lt;&gt;"Not required",L36&lt;&gt;"Not required"),V36&lt;&gt;""),P36&lt;&gt;"Rolled back"),"Yes","No")</f>
        <v/>
      </c>
      <c r="Y36" s="15">
        <f>IF(X36="Yes","Completed",IF(H36="","No deadline",IF(NOT(ISNUMBER(H36)),"Check date",IF(H36&lt;Overview!$I$3,"Overdue",IF(H36&lt;=Overview!$I$3+7,"Due soon","On track")))))</f>
        <v/>
      </c>
      <c r="Z36" s="37">
        <f>IF(AND(X36&lt;&gt;"Yes",ISNUMBER(H36)),MAX(0,Overview!$I$3-H36),0)</f>
        <v/>
      </c>
      <c r="AA36" s="5" t="inlineStr">
        <is>
          <t>Super Admin</t>
        </is>
      </c>
      <c r="AB36" t="inlineStr">
        <is>
          <t>/school/classes</t>
        </is>
      </c>
    </row>
    <row r="37" ht="35" customHeight="1">
      <c r="A37" s="2" t="inlineStr">
        <is>
          <t>SCR-031</t>
        </is>
      </c>
      <c r="B37" s="5" t="inlineStr">
        <is>
          <t>Department Setup</t>
        </is>
      </c>
      <c r="C37" s="5" t="inlineStr">
        <is>
          <t>Organization / School / Branch Setup</t>
        </is>
      </c>
      <c r="D37" s="2" t="inlineStr">
        <is>
          <t>Phase 2</t>
        </is>
      </c>
      <c r="E37" s="2" t="inlineStr">
        <is>
          <t>US-0061, US-0062</t>
        </is>
      </c>
      <c r="F37" s="24" t="n"/>
      <c r="G37" s="24" t="n"/>
      <c r="H37" s="32" t="n"/>
      <c r="I37" s="2" t="inlineStr">
        <is>
          <t>Ready</t>
        </is>
      </c>
      <c r="J37" s="33" t="inlineStr">
        <is>
          <t>Done</t>
        </is>
      </c>
      <c r="K37" s="33" t="inlineStr">
        <is>
          <t>Done</t>
        </is>
      </c>
      <c r="L37" s="24" t="inlineStr">
        <is>
          <t>Not assessed</t>
        </is>
      </c>
      <c r="M37" s="24" t="inlineStr">
        <is>
          <t>Not assessed</t>
        </is>
      </c>
      <c r="N37" s="24" t="inlineStr">
        <is>
          <t>Not assessed</t>
        </is>
      </c>
      <c r="O37" s="35" t="n"/>
      <c r="P37" s="24" t="inlineStr">
        <is>
          <t>Not scheduled</t>
        </is>
      </c>
      <c r="Q37" s="24" t="n"/>
      <c r="R37" s="24" t="inlineStr">
        <is>
          <t>Create and update with head</t>
        </is>
      </c>
      <c r="S37" s="24" t="n"/>
      <c r="T37" s="24" t="n"/>
      <c r="U37" s="36" t="n">
        <v>46285</v>
      </c>
      <c r="V37" s="24" t="n"/>
      <c r="W37" s="15">
        <f>IF(P37="Production",IF(X37="Yes","Released","Review release"),IF(P37="Rolled back","Rolled back",IF(OR(Q37&lt;&gt;"",COUNTIFS(J37:N37,"Blocked")&gt;0),"Blocked",IF(OR(M37="Failed",N37="Rejected",AND(ISNUMBER(O37),O37&gt;0)),"Rework",IF(X37="Yes","Ready for release",IF(N37="Accepted","Verify completion",IF(OR(M37="Passed",M37="In progress",N37="In review"),"Testing / review",IF(OR(COUNTIFS(J37:L37,"In progress")&gt;0,COUNTIFS(J37:L37,"In review")&gt;0,COUNTIFS(J37:L37,"Done")&gt;0),"In progress",IF(COUNTIFS(J37:N37,"Not assessed")=5,"Not assessed","Planned")))))))))</f>
        <v/>
      </c>
      <c r="X37" s="15">
        <f>IF(AND(J37="Done",OR(K37="Done",K37="Not required"),OR(L37="Done",L37="Not required"),M37="Passed",N37="Accepted",ISNUMBER(O37),O37=0,Q37="",F37&lt;&gt;"",S37&lt;&gt;"",T37&lt;&gt;"",ISNUMBER(U37),OR(AND(K37&lt;&gt;"Not required",L37&lt;&gt;"Not required"),V37&lt;&gt;""),P37&lt;&gt;"Rolled back"),"Yes","No")</f>
        <v/>
      </c>
      <c r="Y37" s="15">
        <f>IF(X37="Yes","Completed",IF(H37="","No deadline",IF(NOT(ISNUMBER(H37)),"Check date",IF(H37&lt;Overview!$I$3,"Overdue",IF(H37&lt;=Overview!$I$3+7,"Due soon","On track")))))</f>
        <v/>
      </c>
      <c r="Z37" s="37">
        <f>IF(AND(X37&lt;&gt;"Yes",ISNUMBER(H37)),MAX(0,Overview!$I$3-H37),0)</f>
        <v/>
      </c>
      <c r="AA37" s="5" t="inlineStr">
        <is>
          <t>Super Admin</t>
        </is>
      </c>
      <c r="AB37" t="inlineStr">
        <is>
          <t>/school/departments</t>
        </is>
      </c>
    </row>
    <row r="38" ht="35" customHeight="1">
      <c r="A38" s="2" t="inlineStr">
        <is>
          <t>SCR-032</t>
        </is>
      </c>
      <c r="B38" s="5" t="inlineStr">
        <is>
          <t>School Branding &amp; Profile</t>
        </is>
      </c>
      <c r="C38" s="5" t="inlineStr">
        <is>
          <t>Organization / School / Branch Setup</t>
        </is>
      </c>
      <c r="D38" s="2" t="inlineStr">
        <is>
          <t>Phase 3</t>
        </is>
      </c>
      <c r="E38" s="2" t="inlineStr">
        <is>
          <t>US-0063, US-0064</t>
        </is>
      </c>
      <c r="F38" s="24" t="n"/>
      <c r="G38" s="24" t="n"/>
      <c r="H38" s="32" t="n"/>
      <c r="I38" s="2" t="inlineStr">
        <is>
          <t>Ready</t>
        </is>
      </c>
      <c r="J38" s="33" t="inlineStr">
        <is>
          <t>Done</t>
        </is>
      </c>
      <c r="K38" s="33" t="inlineStr">
        <is>
          <t>Done</t>
        </is>
      </c>
      <c r="L38" s="24" t="inlineStr">
        <is>
          <t>Not assessed</t>
        </is>
      </c>
      <c r="M38" s="24" t="inlineStr">
        <is>
          <t>Not assessed</t>
        </is>
      </c>
      <c r="N38" s="24" t="inlineStr">
        <is>
          <t>Not assessed</t>
        </is>
      </c>
      <c r="O38" s="35" t="n"/>
      <c r="P38" s="24" t="inlineStr">
        <is>
          <t>Not scheduled</t>
        </is>
      </c>
      <c r="Q38" s="24" t="n"/>
      <c r="R38" s="24" t="inlineStr">
        <is>
          <t>App name, logo, brand colour</t>
        </is>
      </c>
      <c r="S38" s="24" t="n"/>
      <c r="T38" s="24" t="n"/>
      <c r="U38" s="36" t="n">
        <v>46285</v>
      </c>
      <c r="V38" s="24" t="n"/>
      <c r="W38" s="15">
        <f>IF(P38="Production",IF(X38="Yes","Released","Review release"),IF(P38="Rolled back","Rolled back",IF(OR(Q38&lt;&gt;"",COUNTIFS(J38:N38,"Blocked")&gt;0),"Blocked",IF(OR(M38="Failed",N38="Rejected",AND(ISNUMBER(O38),O38&gt;0)),"Rework",IF(X38="Yes","Ready for release",IF(N38="Accepted","Verify completion",IF(OR(M38="Passed",M38="In progress",N38="In review"),"Testing / review",IF(OR(COUNTIFS(J38:L38,"In progress")&gt;0,COUNTIFS(J38:L38,"In review")&gt;0,COUNTIFS(J38:L38,"Done")&gt;0),"In progress",IF(COUNTIFS(J38:N38,"Not assessed")=5,"Not assessed","Planned")))))))))</f>
        <v/>
      </c>
      <c r="X38" s="15">
        <f>IF(AND(J38="Done",OR(K38="Done",K38="Not required"),OR(L38="Done",L38="Not required"),M38="Passed",N38="Accepted",ISNUMBER(O38),O38=0,Q38="",F38&lt;&gt;"",S38&lt;&gt;"",T38&lt;&gt;"",ISNUMBER(U38),OR(AND(K38&lt;&gt;"Not required",L38&lt;&gt;"Not required"),V38&lt;&gt;""),P38&lt;&gt;"Rolled back"),"Yes","No")</f>
        <v/>
      </c>
      <c r="Y38" s="15">
        <f>IF(X38="Yes","Completed",IF(H38="","No deadline",IF(NOT(ISNUMBER(H38)),"Check date",IF(H38&lt;Overview!$I$3,"Overdue",IF(H38&lt;=Overview!$I$3+7,"Due soon","On track")))))</f>
        <v/>
      </c>
      <c r="Z38" s="37">
        <f>IF(AND(X38&lt;&gt;"Yes",ISNUMBER(H38)),MAX(0,Overview!$I$3-H38),0)</f>
        <v/>
      </c>
      <c r="AA38" s="5" t="inlineStr">
        <is>
          <t>Super Admin</t>
        </is>
      </c>
      <c r="AB38" t="inlineStr">
        <is>
          <t>/school/profile</t>
        </is>
      </c>
    </row>
    <row r="39" ht="35" customHeight="1">
      <c r="A39" s="2" t="inlineStr">
        <is>
          <t>SCR-033</t>
        </is>
      </c>
      <c r="B39" s="5" t="inlineStr">
        <is>
          <t>School Admin Dashboard</t>
        </is>
      </c>
      <c r="C39" s="5" t="inlineStr">
        <is>
          <t>Role Dashboards</t>
        </is>
      </c>
      <c r="D39" s="2" t="inlineStr">
        <is>
          <t>MVP</t>
        </is>
      </c>
      <c r="E39" s="2" t="inlineStr">
        <is>
          <t>US-0065, US-0066</t>
        </is>
      </c>
      <c r="F39" s="24" t="n"/>
      <c r="G39" s="24" t="n"/>
      <c r="H39" s="32" t="n"/>
      <c r="I39" s="2" t="inlineStr">
        <is>
          <t>Ready</t>
        </is>
      </c>
      <c r="J39" s="33" t="inlineStr">
        <is>
          <t>Done</t>
        </is>
      </c>
      <c r="K39" s="33" t="inlineStr">
        <is>
          <t>Done</t>
        </is>
      </c>
      <c r="L39" s="24" t="inlineStr">
        <is>
          <t>Not assessed</t>
        </is>
      </c>
      <c r="M39" s="24" t="inlineStr">
        <is>
          <t>Not assessed</t>
        </is>
      </c>
      <c r="N39" s="24" t="inlineStr">
        <is>
          <t>Not assessed</t>
        </is>
      </c>
      <c r="O39" s="35" t="n"/>
      <c r="P39" s="24" t="inlineStr">
        <is>
          <t>Not scheduled</t>
        </is>
      </c>
      <c r="Q39" s="24" t="n"/>
      <c r="R39" s="24" t="inlineStr">
        <is>
          <t>Dashboard stat cards and panels</t>
        </is>
      </c>
      <c r="S39" s="24" t="n"/>
      <c r="T39" s="24" t="n"/>
      <c r="U39" s="36" t="n">
        <v>46285</v>
      </c>
      <c r="V39" s="24" t="n"/>
      <c r="W39" s="15">
        <f>IF(P39="Production",IF(X39="Yes","Released","Review release"),IF(P39="Rolled back","Rolled back",IF(OR(Q39&lt;&gt;"",COUNTIFS(J39:N39,"Blocked")&gt;0),"Blocked",IF(OR(M39="Failed",N39="Rejected",AND(ISNUMBER(O39),O39&gt;0)),"Rework",IF(X39="Yes","Ready for release",IF(N39="Accepted","Verify completion",IF(OR(M39="Passed",M39="In progress",N39="In review"),"Testing / review",IF(OR(COUNTIFS(J39:L39,"In progress")&gt;0,COUNTIFS(J39:L39,"In review")&gt;0,COUNTIFS(J39:L39,"Done")&gt;0),"In progress",IF(COUNTIFS(J39:N39,"Not assessed")=5,"Not assessed","Planned")))))))))</f>
        <v/>
      </c>
      <c r="X39" s="15">
        <f>IF(AND(J39="Done",OR(K39="Done",K39="Not required"),OR(L39="Done",L39="Not required"),M39="Passed",N39="Accepted",ISNUMBER(O39),O39=0,Q39="",F39&lt;&gt;"",S39&lt;&gt;"",T39&lt;&gt;"",ISNUMBER(U39),OR(AND(K39&lt;&gt;"Not required",L39&lt;&gt;"Not required"),V39&lt;&gt;""),P39&lt;&gt;"Rolled back"),"Yes","No")</f>
        <v/>
      </c>
      <c r="Y39" s="15">
        <f>IF(X39="Yes","Completed",IF(H39="","No deadline",IF(NOT(ISNUMBER(H39)),"Check date",IF(H39&lt;Overview!$I$3,"Overdue",IF(H39&lt;=Overview!$I$3+7,"Due soon","On track")))))</f>
        <v/>
      </c>
      <c r="Z39" s="37">
        <f>IF(AND(X39&lt;&gt;"Yes",ISNUMBER(H39)),MAX(0,Overview!$I$3-H39),0)</f>
        <v/>
      </c>
      <c r="AA39" s="5" t="inlineStr">
        <is>
          <t>School Admin</t>
        </is>
      </c>
      <c r="AB39" t="inlineStr">
        <is>
          <t>/school</t>
        </is>
      </c>
    </row>
    <row r="40" ht="35" customHeight="1">
      <c r="A40" s="2" t="inlineStr">
        <is>
          <t>SCR-034</t>
        </is>
      </c>
      <c r="B40" s="5" t="inlineStr">
        <is>
          <t>Principal Dashboard</t>
        </is>
      </c>
      <c r="C40" s="5" t="inlineStr">
        <is>
          <t>Role Dashboards</t>
        </is>
      </c>
      <c r="D40" s="2" t="inlineStr">
        <is>
          <t>MVP</t>
        </is>
      </c>
      <c r="E40" s="2" t="inlineStr">
        <is>
          <t>US-0067, US-0068</t>
        </is>
      </c>
      <c r="F40" s="24" t="n"/>
      <c r="G40" s="24" t="n"/>
      <c r="H40" s="32" t="n"/>
      <c r="I40" s="2" t="inlineStr">
        <is>
          <t>Ready</t>
        </is>
      </c>
      <c r="J40" s="33" t="inlineStr">
        <is>
          <t>Done</t>
        </is>
      </c>
      <c r="K40" s="33" t="inlineStr">
        <is>
          <t>Done</t>
        </is>
      </c>
      <c r="L40" s="24" t="inlineStr">
        <is>
          <t>Not assessed</t>
        </is>
      </c>
      <c r="M40" s="24" t="inlineStr">
        <is>
          <t>Not assessed</t>
        </is>
      </c>
      <c r="N40" s="24" t="inlineStr">
        <is>
          <t>Not assessed</t>
        </is>
      </c>
      <c r="O40" s="35" t="n"/>
      <c r="P40" s="24" t="inlineStr">
        <is>
          <t>Not scheduled</t>
        </is>
      </c>
      <c r="Q40" s="24" t="n"/>
      <c r="R40" s="24" t="inlineStr">
        <is>
          <t>Principal overview dashboard</t>
        </is>
      </c>
      <c r="S40" s="24" t="n"/>
      <c r="T40" s="24" t="n"/>
      <c r="U40" s="36" t="n">
        <v>46285</v>
      </c>
      <c r="V40" s="24" t="n"/>
      <c r="W40" s="15">
        <f>IF(P40="Production",IF(X40="Yes","Released","Review release"),IF(P40="Rolled back","Rolled back",IF(OR(Q40&lt;&gt;"",COUNTIFS(J40:N40,"Blocked")&gt;0),"Blocked",IF(OR(M40="Failed",N40="Rejected",AND(ISNUMBER(O40),O40&gt;0)),"Rework",IF(X40="Yes","Ready for release",IF(N40="Accepted","Verify completion",IF(OR(M40="Passed",M40="In progress",N40="In review"),"Testing / review",IF(OR(COUNTIFS(J40:L40,"In progress")&gt;0,COUNTIFS(J40:L40,"In review")&gt;0,COUNTIFS(J40:L40,"Done")&gt;0),"In progress",IF(COUNTIFS(J40:N40,"Not assessed")=5,"Not assessed","Planned")))))))))</f>
        <v/>
      </c>
      <c r="X40" s="15">
        <f>IF(AND(J40="Done",OR(K40="Done",K40="Not required"),OR(L40="Done",L40="Not required"),M40="Passed",N40="Accepted",ISNUMBER(O40),O40=0,Q40="",F40&lt;&gt;"",S40&lt;&gt;"",T40&lt;&gt;"",ISNUMBER(U40),OR(AND(K40&lt;&gt;"Not required",L40&lt;&gt;"Not required"),V40&lt;&gt;""),P40&lt;&gt;"Rolled back"),"Yes","No")</f>
        <v/>
      </c>
      <c r="Y40" s="15">
        <f>IF(X40="Yes","Completed",IF(H40="","No deadline",IF(NOT(ISNUMBER(H40)),"Check date",IF(H40&lt;Overview!$I$3,"Overdue",IF(H40&lt;=Overview!$I$3+7,"Due soon","On track")))))</f>
        <v/>
      </c>
      <c r="Z40" s="37">
        <f>IF(AND(X40&lt;&gt;"Yes",ISNUMBER(H40)),MAX(0,Overview!$I$3-H40),0)</f>
        <v/>
      </c>
      <c r="AA40" s="5" t="inlineStr">
        <is>
          <t>Principal</t>
        </is>
      </c>
      <c r="AB40" t="inlineStr">
        <is>
          <t>/principal</t>
        </is>
      </c>
    </row>
    <row r="41" ht="35" customHeight="1">
      <c r="A41" s="2" t="inlineStr">
        <is>
          <t>SCR-035</t>
        </is>
      </c>
      <c r="B41" s="5" t="inlineStr">
        <is>
          <t>Teacher Dashboard</t>
        </is>
      </c>
      <c r="C41" s="5" t="inlineStr">
        <is>
          <t>Role Dashboards</t>
        </is>
      </c>
      <c r="D41" s="2" t="inlineStr">
        <is>
          <t>MVP</t>
        </is>
      </c>
      <c r="E41" s="2" t="inlineStr">
        <is>
          <t>US-0069, US-0070</t>
        </is>
      </c>
      <c r="F41" s="24" t="n"/>
      <c r="G41" s="24" t="n"/>
      <c r="H41" s="32" t="n"/>
      <c r="I41" s="2" t="inlineStr">
        <is>
          <t>Ready</t>
        </is>
      </c>
      <c r="J41" s="33" t="inlineStr">
        <is>
          <t>Done</t>
        </is>
      </c>
      <c r="K41" s="33" t="inlineStr">
        <is>
          <t>Done</t>
        </is>
      </c>
      <c r="L41" s="24" t="inlineStr">
        <is>
          <t>Not assessed</t>
        </is>
      </c>
      <c r="M41" s="24" t="inlineStr">
        <is>
          <t>Not assessed</t>
        </is>
      </c>
      <c r="N41" s="24" t="inlineStr">
        <is>
          <t>Not assessed</t>
        </is>
      </c>
      <c r="O41" s="35" t="n"/>
      <c r="P41" s="24" t="inlineStr">
        <is>
          <t>Not scheduled</t>
        </is>
      </c>
      <c r="Q41" s="24" t="n"/>
      <c r="R41" s="24" t="inlineStr">
        <is>
          <t>Today classes and stat cards</t>
        </is>
      </c>
      <c r="S41" s="24" t="n"/>
      <c r="T41" s="24" t="n"/>
      <c r="U41" s="36" t="n">
        <v>46285</v>
      </c>
      <c r="V41" s="24" t="n"/>
      <c r="W41" s="15">
        <f>IF(P41="Production",IF(X41="Yes","Released","Review release"),IF(P41="Rolled back","Rolled back",IF(OR(Q41&lt;&gt;"",COUNTIFS(J41:N41,"Blocked")&gt;0),"Blocked",IF(OR(M41="Failed",N41="Rejected",AND(ISNUMBER(O41),O41&gt;0)),"Rework",IF(X41="Yes","Ready for release",IF(N41="Accepted","Verify completion",IF(OR(M41="Passed",M41="In progress",N41="In review"),"Testing / review",IF(OR(COUNTIFS(J41:L41,"In progress")&gt;0,COUNTIFS(J41:L41,"In review")&gt;0,COUNTIFS(J41:L41,"Done")&gt;0),"In progress",IF(COUNTIFS(J41:N41,"Not assessed")=5,"Not assessed","Planned")))))))))</f>
        <v/>
      </c>
      <c r="X41" s="15">
        <f>IF(AND(J41="Done",OR(K41="Done",K41="Not required"),OR(L41="Done",L41="Not required"),M41="Passed",N41="Accepted",ISNUMBER(O41),O41=0,Q41="",F41&lt;&gt;"",S41&lt;&gt;"",T41&lt;&gt;"",ISNUMBER(U41),OR(AND(K41&lt;&gt;"Not required",L41&lt;&gt;"Not required"),V41&lt;&gt;""),P41&lt;&gt;"Rolled back"),"Yes","No")</f>
        <v/>
      </c>
      <c r="Y41" s="15">
        <f>IF(X41="Yes","Completed",IF(H41="","No deadline",IF(NOT(ISNUMBER(H41)),"Check date",IF(H41&lt;Overview!$I$3,"Overdue",IF(H41&lt;=Overview!$I$3+7,"Due soon","On track")))))</f>
        <v/>
      </c>
      <c r="Z41" s="37">
        <f>IF(AND(X41&lt;&gt;"Yes",ISNUMBER(H41)),MAX(0,Overview!$I$3-H41),0)</f>
        <v/>
      </c>
      <c r="AA41" s="5" t="inlineStr">
        <is>
          <t>Teacher</t>
        </is>
      </c>
      <c r="AB41" t="inlineStr">
        <is>
          <t>/teacher</t>
        </is>
      </c>
    </row>
    <row r="42" ht="35" customHeight="1">
      <c r="A42" s="2" t="inlineStr">
        <is>
          <t>SCR-036</t>
        </is>
      </c>
      <c r="B42" s="5" t="inlineStr">
        <is>
          <t>Student Dashboard</t>
        </is>
      </c>
      <c r="C42" s="5" t="inlineStr">
        <is>
          <t>Role Dashboards</t>
        </is>
      </c>
      <c r="D42" s="2" t="inlineStr">
        <is>
          <t>MVP</t>
        </is>
      </c>
      <c r="E42" s="2" t="inlineStr">
        <is>
          <t>US-0071, US-0072</t>
        </is>
      </c>
      <c r="F42" s="24" t="n"/>
      <c r="G42" s="24" t="n"/>
      <c r="H42" s="32" t="n"/>
      <c r="I42" s="2" t="inlineStr">
        <is>
          <t>Ready</t>
        </is>
      </c>
      <c r="J42" s="33" t="inlineStr">
        <is>
          <t>Done</t>
        </is>
      </c>
      <c r="K42" s="33" t="inlineStr">
        <is>
          <t>Done</t>
        </is>
      </c>
      <c r="L42" s="24" t="inlineStr">
        <is>
          <t>Not assessed</t>
        </is>
      </c>
      <c r="M42" s="24" t="inlineStr">
        <is>
          <t>Not assessed</t>
        </is>
      </c>
      <c r="N42" s="24" t="inlineStr">
        <is>
          <t>Not assessed</t>
        </is>
      </c>
      <c r="O42" s="35" t="n"/>
      <c r="P42" s="24" t="inlineStr">
        <is>
          <t>Not scheduled</t>
        </is>
      </c>
      <c r="Q42" s="24" t="n"/>
      <c r="R42" s="24" t="inlineStr">
        <is>
          <t>Homework due, today's lessons, attendance, notices</t>
        </is>
      </c>
      <c r="S42" s="24" t="n"/>
      <c r="T42" s="24" t="n"/>
      <c r="U42" s="36" t="n">
        <v>46285</v>
      </c>
      <c r="V42" s="24" t="n"/>
      <c r="W42" s="15">
        <f>IF(P42="Production",IF(X42="Yes","Released","Review release"),IF(P42="Rolled back","Rolled back",IF(OR(Q42&lt;&gt;"",COUNTIFS(J42:N42,"Blocked")&gt;0),"Blocked",IF(OR(M42="Failed",N42="Rejected",AND(ISNUMBER(O42),O42&gt;0)),"Rework",IF(X42="Yes","Ready for release",IF(N42="Accepted","Verify completion",IF(OR(M42="Passed",M42="In progress",N42="In review"),"Testing / review",IF(OR(COUNTIFS(J42:L42,"In progress")&gt;0,COUNTIFS(J42:L42,"In review")&gt;0,COUNTIFS(J42:L42,"Done")&gt;0),"In progress",IF(COUNTIFS(J42:N42,"Not assessed")=5,"Not assessed","Planned")))))))))</f>
        <v/>
      </c>
      <c r="X42" s="15">
        <f>IF(AND(J42="Done",OR(K42="Done",K42="Not required"),OR(L42="Done",L42="Not required"),M42="Passed",N42="Accepted",ISNUMBER(O42),O42=0,Q42="",F42&lt;&gt;"",S42&lt;&gt;"",T42&lt;&gt;"",ISNUMBER(U42),OR(AND(K42&lt;&gt;"Not required",L42&lt;&gt;"Not required"),V42&lt;&gt;""),P42&lt;&gt;"Rolled back"),"Yes","No")</f>
        <v/>
      </c>
      <c r="Y42" s="15">
        <f>IF(X42="Yes","Completed",IF(H42="","No deadline",IF(NOT(ISNUMBER(H42)),"Check date",IF(H42&lt;Overview!$I$3,"Overdue",IF(H42&lt;=Overview!$I$3+7,"Due soon","On track")))))</f>
        <v/>
      </c>
      <c r="Z42" s="37">
        <f>IF(AND(X42&lt;&gt;"Yes",ISNUMBER(H42)),MAX(0,Overview!$I$3-H42),0)</f>
        <v/>
      </c>
      <c r="AA42" s="5" t="inlineStr">
        <is>
          <t>Student</t>
        </is>
      </c>
      <c r="AB42" t="inlineStr">
        <is>
          <t>/student</t>
        </is>
      </c>
    </row>
    <row r="43" ht="35" customHeight="1">
      <c r="A43" s="2" t="inlineStr">
        <is>
          <t>SCR-037</t>
        </is>
      </c>
      <c r="B43" s="5" t="inlineStr">
        <is>
          <t>Parent Dashboard</t>
        </is>
      </c>
      <c r="C43" s="5" t="inlineStr">
        <is>
          <t>Role Dashboards</t>
        </is>
      </c>
      <c r="D43" s="2" t="inlineStr">
        <is>
          <t>MVP</t>
        </is>
      </c>
      <c r="E43" s="2" t="inlineStr">
        <is>
          <t>US-0073, US-0074</t>
        </is>
      </c>
      <c r="F43" s="24" t="n"/>
      <c r="G43" s="24" t="n"/>
      <c r="H43" s="32" t="n"/>
      <c r="I43" s="2" t="inlineStr">
        <is>
          <t>Ready</t>
        </is>
      </c>
      <c r="J43" s="33" t="inlineStr">
        <is>
          <t>Done</t>
        </is>
      </c>
      <c r="K43" s="33" t="inlineStr">
        <is>
          <t>Done</t>
        </is>
      </c>
      <c r="L43" s="24" t="inlineStr">
        <is>
          <t>Not assessed</t>
        </is>
      </c>
      <c r="M43" s="24" t="inlineStr">
        <is>
          <t>Not assessed</t>
        </is>
      </c>
      <c r="N43" s="24" t="inlineStr">
        <is>
          <t>Not assessed</t>
        </is>
      </c>
      <c r="O43" s="35" t="n"/>
      <c r="P43" s="24" t="inlineStr">
        <is>
          <t>Not scheduled</t>
        </is>
      </c>
      <c r="Q43" s="24" t="n"/>
      <c r="R43" s="24" t="inlineStr">
        <is>
          <t>Children cards, notices, holidays</t>
        </is>
      </c>
      <c r="S43" s="24" t="n"/>
      <c r="T43" s="24" t="n"/>
      <c r="U43" s="36" t="n">
        <v>46285</v>
      </c>
      <c r="V43" s="24" t="n"/>
      <c r="W43" s="15">
        <f>IF(P43="Production",IF(X43="Yes","Released","Review release"),IF(P43="Rolled back","Rolled back",IF(OR(Q43&lt;&gt;"",COUNTIFS(J43:N43,"Blocked")&gt;0),"Blocked",IF(OR(M43="Failed",N43="Rejected",AND(ISNUMBER(O43),O43&gt;0)),"Rework",IF(X43="Yes","Ready for release",IF(N43="Accepted","Verify completion",IF(OR(M43="Passed",M43="In progress",N43="In review"),"Testing / review",IF(OR(COUNTIFS(J43:L43,"In progress")&gt;0,COUNTIFS(J43:L43,"In review")&gt;0,COUNTIFS(J43:L43,"Done")&gt;0),"In progress",IF(COUNTIFS(J43:N43,"Not assessed")=5,"Not assessed","Planned")))))))))</f>
        <v/>
      </c>
      <c r="X43" s="15">
        <f>IF(AND(J43="Done",OR(K43="Done",K43="Not required"),OR(L43="Done",L43="Not required"),M43="Passed",N43="Accepted",ISNUMBER(O43),O43=0,Q43="",F43&lt;&gt;"",S43&lt;&gt;"",T43&lt;&gt;"",ISNUMBER(U43),OR(AND(K43&lt;&gt;"Not required",L43&lt;&gt;"Not required"),V43&lt;&gt;""),P43&lt;&gt;"Rolled back"),"Yes","No")</f>
        <v/>
      </c>
      <c r="Y43" s="15">
        <f>IF(X43="Yes","Completed",IF(H43="","No deadline",IF(NOT(ISNUMBER(H43)),"Check date",IF(H43&lt;Overview!$I$3,"Overdue",IF(H43&lt;=Overview!$I$3+7,"Due soon","On track")))))</f>
        <v/>
      </c>
      <c r="Z43" s="37">
        <f>IF(AND(X43&lt;&gt;"Yes",ISNUMBER(H43)),MAX(0,Overview!$I$3-H43),0)</f>
        <v/>
      </c>
      <c r="AA43" s="5" t="inlineStr">
        <is>
          <t>Parent</t>
        </is>
      </c>
      <c r="AB43" t="inlineStr">
        <is>
          <t>/parent</t>
        </is>
      </c>
    </row>
    <row r="44" ht="35" customHeight="1">
      <c r="A44" s="2" t="inlineStr">
        <is>
          <t>SCR-038</t>
        </is>
      </c>
      <c r="B44" s="5" t="inlineStr">
        <is>
          <t>Accountant Dashboard</t>
        </is>
      </c>
      <c r="C44" s="5" t="inlineStr">
        <is>
          <t>Role Dashboards</t>
        </is>
      </c>
      <c r="D44" s="2" t="inlineStr">
        <is>
          <t>Phase 2</t>
        </is>
      </c>
      <c r="E44" s="2" t="inlineStr">
        <is>
          <t>US-0075, US-0076</t>
        </is>
      </c>
      <c r="F44" s="24" t="n"/>
      <c r="G44" s="24" t="n"/>
      <c r="H44" s="32" t="n"/>
      <c r="I44" s="2" t="inlineStr">
        <is>
          <t>Ready</t>
        </is>
      </c>
      <c r="J44" s="33" t="inlineStr">
        <is>
          <t>Done</t>
        </is>
      </c>
      <c r="K44" s="33" t="inlineStr">
        <is>
          <t>Done</t>
        </is>
      </c>
      <c r="L44" s="24" t="inlineStr">
        <is>
          <t>Not assessed</t>
        </is>
      </c>
      <c r="M44" s="24" t="inlineStr">
        <is>
          <t>Not assessed</t>
        </is>
      </c>
      <c r="N44" s="24" t="inlineStr">
        <is>
          <t>Not assessed</t>
        </is>
      </c>
      <c r="O44" s="35" t="n"/>
      <c r="P44" s="24" t="inlineStr">
        <is>
          <t>Not scheduled</t>
        </is>
      </c>
      <c r="Q44" s="24" t="n"/>
      <c r="R44" s="24" t="inlineStr">
        <is>
          <t>Collected today and this month against what is owed</t>
        </is>
      </c>
      <c r="S44" s="24" t="n"/>
      <c r="T44" s="24" t="n"/>
      <c r="U44" s="36" t="n">
        <v>46285</v>
      </c>
      <c r="V44" s="24" t="n"/>
      <c r="W44" s="15">
        <f>IF(P44="Production",IF(X44="Yes","Released","Review release"),IF(P44="Rolled back","Rolled back",IF(OR(Q44&lt;&gt;"",COUNTIFS(J44:N44,"Blocked")&gt;0),"Blocked",IF(OR(M44="Failed",N44="Rejected",AND(ISNUMBER(O44),O44&gt;0)),"Rework",IF(X44="Yes","Ready for release",IF(N44="Accepted","Verify completion",IF(OR(M44="Passed",M44="In progress",N44="In review"),"Testing / review",IF(OR(COUNTIFS(J44:L44,"In progress")&gt;0,COUNTIFS(J44:L44,"In review")&gt;0,COUNTIFS(J44:L44,"Done")&gt;0),"In progress",IF(COUNTIFS(J44:N44,"Not assessed")=5,"Not assessed","Planned")))))))))</f>
        <v/>
      </c>
      <c r="X44" s="15">
        <f>IF(AND(J44="Done",OR(K44="Done",K44="Not required"),OR(L44="Done",L44="Not required"),M44="Passed",N44="Accepted",ISNUMBER(O44),O44=0,Q44="",F44&lt;&gt;"",S44&lt;&gt;"",T44&lt;&gt;"",ISNUMBER(U44),OR(AND(K44&lt;&gt;"Not required",L44&lt;&gt;"Not required"),V44&lt;&gt;""),P44&lt;&gt;"Rolled back"),"Yes","No")</f>
        <v/>
      </c>
      <c r="Y44" s="15">
        <f>IF(X44="Yes","Completed",IF(H44="","No deadline",IF(NOT(ISNUMBER(H44)),"Check date",IF(H44&lt;Overview!$I$3,"Overdue",IF(H44&lt;=Overview!$I$3+7,"Due soon","On track")))))</f>
        <v/>
      </c>
      <c r="Z44" s="37">
        <f>IF(AND(X44&lt;&gt;"Yes",ISNUMBER(H44)),MAX(0,Overview!$I$3-H44),0)</f>
        <v/>
      </c>
      <c r="AA44" s="5" t="inlineStr">
        <is>
          <t>Accountant</t>
        </is>
      </c>
      <c r="AB44" t="inlineStr">
        <is>
          <t>/accountant</t>
        </is>
      </c>
    </row>
    <row r="45" ht="35" customHeight="1">
      <c r="A45" s="2" t="inlineStr">
        <is>
          <t>SCR-039</t>
        </is>
      </c>
      <c r="B45" s="5" t="inlineStr">
        <is>
          <t>HR Dashboard</t>
        </is>
      </c>
      <c r="C45" s="5" t="inlineStr">
        <is>
          <t>Role Dashboards</t>
        </is>
      </c>
      <c r="D45" s="2" t="inlineStr">
        <is>
          <t>Phase 2</t>
        </is>
      </c>
      <c r="E45" s="2" t="inlineStr">
        <is>
          <t>US-0077, US-0078</t>
        </is>
      </c>
      <c r="F45" s="24" t="n"/>
      <c r="G45" s="24" t="n"/>
      <c r="H45" s="32" t="n"/>
      <c r="I45" s="2" t="inlineStr">
        <is>
          <t>Ready</t>
        </is>
      </c>
      <c r="J45" s="33" t="inlineStr">
        <is>
          <t>Done</t>
        </is>
      </c>
      <c r="K45" s="33" t="inlineStr">
        <is>
          <t>Done</t>
        </is>
      </c>
      <c r="L45" s="24" t="inlineStr">
        <is>
          <t>Not assessed</t>
        </is>
      </c>
      <c r="M45" s="24" t="inlineStr">
        <is>
          <t>Not assessed</t>
        </is>
      </c>
      <c r="N45" s="24" t="inlineStr">
        <is>
          <t>Not assessed</t>
        </is>
      </c>
      <c r="O45" s="35" t="n"/>
      <c r="P45" s="24" t="inlineStr">
        <is>
          <t>Not scheduled</t>
        </is>
      </c>
      <c r="Q45" s="24" t="n"/>
      <c r="R45" s="24" t="inlineStr">
        <is>
          <t>Staff and leave panel, shown to whoever holds hr.manage</t>
        </is>
      </c>
      <c r="S45" s="24" t="n"/>
      <c r="T45" s="24" t="n"/>
      <c r="U45" s="36" t="n">
        <v>46285</v>
      </c>
      <c r="V45" s="24" t="n"/>
      <c r="W45" s="15">
        <f>IF(P45="Production",IF(X45="Yes","Released","Review release"),IF(P45="Rolled back","Rolled back",IF(OR(Q45&lt;&gt;"",COUNTIFS(J45:N45,"Blocked")&gt;0),"Blocked",IF(OR(M45="Failed",N45="Rejected",AND(ISNUMBER(O45),O45&gt;0)),"Rework",IF(X45="Yes","Ready for release",IF(N45="Accepted","Verify completion",IF(OR(M45="Passed",M45="In progress",N45="In review"),"Testing / review",IF(OR(COUNTIFS(J45:L45,"In progress")&gt;0,COUNTIFS(J45:L45,"In review")&gt;0,COUNTIFS(J45:L45,"Done")&gt;0),"In progress",IF(COUNTIFS(J45:N45,"Not assessed")=5,"Not assessed","Planned")))))))))</f>
        <v/>
      </c>
      <c r="X45" s="15">
        <f>IF(AND(J45="Done",OR(K45="Done",K45="Not required"),OR(L45="Done",L45="Not required"),M45="Passed",N45="Accepted",ISNUMBER(O45),O45=0,Q45="",F45&lt;&gt;"",S45&lt;&gt;"",T45&lt;&gt;"",ISNUMBER(U45),OR(AND(K45&lt;&gt;"Not required",L45&lt;&gt;"Not required"),V45&lt;&gt;""),P45&lt;&gt;"Rolled back"),"Yes","No")</f>
        <v/>
      </c>
      <c r="Y45" s="15">
        <f>IF(X45="Yes","Completed",IF(H45="","No deadline",IF(NOT(ISNUMBER(H45)),"Check date",IF(H45&lt;Overview!$I$3,"Overdue",IF(H45&lt;=Overview!$I$3+7,"Due soon","On track")))))</f>
        <v/>
      </c>
      <c r="Z45" s="37">
        <f>IF(AND(X45&lt;&gt;"Yes",ISNUMBER(H45)),MAX(0,Overview!$I$3-H45),0)</f>
        <v/>
      </c>
      <c r="AA45" s="5" t="inlineStr">
        <is>
          <t>HR</t>
        </is>
      </c>
      <c r="AB45" t="inlineStr">
        <is>
          <t>/staff</t>
        </is>
      </c>
    </row>
    <row r="46" ht="35" customHeight="1">
      <c r="A46" s="2" t="inlineStr">
        <is>
          <t>SCR-040</t>
        </is>
      </c>
      <c r="B46" s="5" t="inlineStr">
        <is>
          <t>Admission Officer Dashboard</t>
        </is>
      </c>
      <c r="C46" s="5" t="inlineStr">
        <is>
          <t>Role Dashboards</t>
        </is>
      </c>
      <c r="D46" s="2" t="inlineStr">
        <is>
          <t>Phase 3</t>
        </is>
      </c>
      <c r="E46" s="2" t="inlineStr">
        <is>
          <t>US-0079, US-0080</t>
        </is>
      </c>
      <c r="F46" s="24" t="n"/>
      <c r="G46" s="24" t="n"/>
      <c r="H46" s="32" t="n"/>
      <c r="I46" s="2" t="inlineStr">
        <is>
          <t>Ready</t>
        </is>
      </c>
      <c r="J46" s="33" t="inlineStr">
        <is>
          <t>Done</t>
        </is>
      </c>
      <c r="K46" s="33" t="inlineStr">
        <is>
          <t>Done</t>
        </is>
      </c>
      <c r="L46" s="24" t="inlineStr">
        <is>
          <t>Not assessed</t>
        </is>
      </c>
      <c r="M46" s="24" t="inlineStr">
        <is>
          <t>Not assessed</t>
        </is>
      </c>
      <c r="N46" s="24" t="inlineStr">
        <is>
          <t>Not assessed</t>
        </is>
      </c>
      <c r="O46" s="35" t="n"/>
      <c r="P46" s="24" t="inlineStr">
        <is>
          <t>Not scheduled</t>
        </is>
      </c>
      <c r="Q46" s="24" t="n"/>
      <c r="R46" s="24" t="inlineStr">
        <is>
          <t>Admissions panel, shown to whoever holds admissions.manage</t>
        </is>
      </c>
      <c r="S46" s="24" t="n"/>
      <c r="T46" s="24" t="n"/>
      <c r="U46" s="36" t="n">
        <v>46285</v>
      </c>
      <c r="V46" s="24" t="n"/>
      <c r="W46" s="15">
        <f>IF(P46="Production",IF(X46="Yes","Released","Review release"),IF(P46="Rolled back","Rolled back",IF(OR(Q46&lt;&gt;"",COUNTIFS(J46:N46,"Blocked")&gt;0),"Blocked",IF(OR(M46="Failed",N46="Rejected",AND(ISNUMBER(O46),O46&gt;0)),"Rework",IF(X46="Yes","Ready for release",IF(N46="Accepted","Verify completion",IF(OR(M46="Passed",M46="In progress",N46="In review"),"Testing / review",IF(OR(COUNTIFS(J46:L46,"In progress")&gt;0,COUNTIFS(J46:L46,"In review")&gt;0,COUNTIFS(J46:L46,"Done")&gt;0),"In progress",IF(COUNTIFS(J46:N46,"Not assessed")=5,"Not assessed","Planned")))))))))</f>
        <v/>
      </c>
      <c r="X46" s="15">
        <f>IF(AND(J46="Done",OR(K46="Done",K46="Not required"),OR(L46="Done",L46="Not required"),M46="Passed",N46="Accepted",ISNUMBER(O46),O46=0,Q46="",F46&lt;&gt;"",S46&lt;&gt;"",T46&lt;&gt;"",ISNUMBER(U46),OR(AND(K46&lt;&gt;"Not required",L46&lt;&gt;"Not required"),V46&lt;&gt;""),P46&lt;&gt;"Rolled back"),"Yes","No")</f>
        <v/>
      </c>
      <c r="Y46" s="15">
        <f>IF(X46="Yes","Completed",IF(H46="","No deadline",IF(NOT(ISNUMBER(H46)),"Check date",IF(H46&lt;Overview!$I$3,"Overdue",IF(H46&lt;=Overview!$I$3+7,"Due soon","On track")))))</f>
        <v/>
      </c>
      <c r="Z46" s="37">
        <f>IF(AND(X46&lt;&gt;"Yes",ISNUMBER(H46)),MAX(0,Overview!$I$3-H46),0)</f>
        <v/>
      </c>
      <c r="AA46" s="5" t="inlineStr">
        <is>
          <t>Admission Officer</t>
        </is>
      </c>
      <c r="AB46" t="inlineStr">
        <is>
          <t>/staff</t>
        </is>
      </c>
    </row>
    <row r="47" ht="35" customHeight="1">
      <c r="A47" s="2" t="inlineStr">
        <is>
          <t>SCR-041</t>
        </is>
      </c>
      <c r="B47" s="5" t="inlineStr">
        <is>
          <t>Transport Manager Dashboard</t>
        </is>
      </c>
      <c r="C47" s="5" t="inlineStr">
        <is>
          <t>Role Dashboards</t>
        </is>
      </c>
      <c r="D47" s="2" t="inlineStr">
        <is>
          <t>Phase 3</t>
        </is>
      </c>
      <c r="E47" s="2" t="inlineStr">
        <is>
          <t>US-0081, US-0082</t>
        </is>
      </c>
      <c r="F47" s="24" t="n"/>
      <c r="G47" s="24" t="n"/>
      <c r="H47" s="32" t="n"/>
      <c r="I47" s="2" t="inlineStr">
        <is>
          <t>Ready</t>
        </is>
      </c>
      <c r="J47" s="33" t="inlineStr">
        <is>
          <t>Done</t>
        </is>
      </c>
      <c r="K47" s="33" t="inlineStr">
        <is>
          <t>Done</t>
        </is>
      </c>
      <c r="L47" s="24" t="inlineStr">
        <is>
          <t>Not assessed</t>
        </is>
      </c>
      <c r="M47" s="24" t="inlineStr">
        <is>
          <t>Not assessed</t>
        </is>
      </c>
      <c r="N47" s="24" t="inlineStr">
        <is>
          <t>Not assessed</t>
        </is>
      </c>
      <c r="O47" s="35" t="n"/>
      <c r="P47" s="24" t="inlineStr">
        <is>
          <t>Not scheduled</t>
        </is>
      </c>
      <c r="Q47" s="24" t="n"/>
      <c r="R47" s="24" t="inlineStr">
        <is>
          <t>Transport panel, shown to whoever holds transport.manage</t>
        </is>
      </c>
      <c r="S47" s="24" t="n"/>
      <c r="T47" s="24" t="n"/>
      <c r="U47" s="36" t="n">
        <v>46285</v>
      </c>
      <c r="V47" s="24" t="n"/>
      <c r="W47" s="15">
        <f>IF(P47="Production",IF(X47="Yes","Released","Review release"),IF(P47="Rolled back","Rolled back",IF(OR(Q47&lt;&gt;"",COUNTIFS(J47:N47,"Blocked")&gt;0),"Blocked",IF(OR(M47="Failed",N47="Rejected",AND(ISNUMBER(O47),O47&gt;0)),"Rework",IF(X47="Yes","Ready for release",IF(N47="Accepted","Verify completion",IF(OR(M47="Passed",M47="In progress",N47="In review"),"Testing / review",IF(OR(COUNTIFS(J47:L47,"In progress")&gt;0,COUNTIFS(J47:L47,"In review")&gt;0,COUNTIFS(J47:L47,"Done")&gt;0),"In progress",IF(COUNTIFS(J47:N47,"Not assessed")=5,"Not assessed","Planned")))))))))</f>
        <v/>
      </c>
      <c r="X47" s="15">
        <f>IF(AND(J47="Done",OR(K47="Done",K47="Not required"),OR(L47="Done",L47="Not required"),M47="Passed",N47="Accepted",ISNUMBER(O47),O47=0,Q47="",F47&lt;&gt;"",S47&lt;&gt;"",T47&lt;&gt;"",ISNUMBER(U47),OR(AND(K47&lt;&gt;"Not required",L47&lt;&gt;"Not required"),V47&lt;&gt;""),P47&lt;&gt;"Rolled back"),"Yes","No")</f>
        <v/>
      </c>
      <c r="Y47" s="15">
        <f>IF(X47="Yes","Completed",IF(H47="","No deadline",IF(NOT(ISNUMBER(H47)),"Check date",IF(H47&lt;Overview!$I$3,"Overdue",IF(H47&lt;=Overview!$I$3+7,"Due soon","On track")))))</f>
        <v/>
      </c>
      <c r="Z47" s="37">
        <f>IF(AND(X47&lt;&gt;"Yes",ISNUMBER(H47)),MAX(0,Overview!$I$3-H47),0)</f>
        <v/>
      </c>
      <c r="AA47" s="5" t="inlineStr">
        <is>
          <t>Transport Manager</t>
        </is>
      </c>
      <c r="AB47" t="inlineStr">
        <is>
          <t>/staff</t>
        </is>
      </c>
    </row>
    <row r="48" ht="35" customHeight="1">
      <c r="A48" s="2" t="inlineStr">
        <is>
          <t>SCR-042</t>
        </is>
      </c>
      <c r="B48" s="5" t="inlineStr">
        <is>
          <t>Librarian Dashboard</t>
        </is>
      </c>
      <c r="C48" s="5" t="inlineStr">
        <is>
          <t>Role Dashboards</t>
        </is>
      </c>
      <c r="D48" s="2" t="inlineStr">
        <is>
          <t>Phase 3</t>
        </is>
      </c>
      <c r="E48" s="2" t="inlineStr">
        <is>
          <t>US-0083, US-0084</t>
        </is>
      </c>
      <c r="F48" s="24" t="n"/>
      <c r="G48" s="24" t="n"/>
      <c r="H48" s="32" t="n"/>
      <c r="I48" s="2" t="inlineStr">
        <is>
          <t>Ready</t>
        </is>
      </c>
      <c r="J48" s="33" t="inlineStr">
        <is>
          <t>Done</t>
        </is>
      </c>
      <c r="K48" s="33" t="inlineStr">
        <is>
          <t>Done</t>
        </is>
      </c>
      <c r="L48" s="24" t="inlineStr">
        <is>
          <t>Not assessed</t>
        </is>
      </c>
      <c r="M48" s="24" t="inlineStr">
        <is>
          <t>Not assessed</t>
        </is>
      </c>
      <c r="N48" s="24" t="inlineStr">
        <is>
          <t>Not assessed</t>
        </is>
      </c>
      <c r="O48" s="35" t="n"/>
      <c r="P48" s="24" t="inlineStr">
        <is>
          <t>Not scheduled</t>
        </is>
      </c>
      <c r="Q48" s="24" t="n"/>
      <c r="R48" s="24" t="inlineStr">
        <is>
          <t>Library panel, shown to whoever holds library.manage</t>
        </is>
      </c>
      <c r="S48" s="24" t="n"/>
      <c r="T48" s="24" t="n"/>
      <c r="U48" s="36" t="n">
        <v>46285</v>
      </c>
      <c r="V48" s="24" t="n"/>
      <c r="W48" s="15">
        <f>IF(P48="Production",IF(X48="Yes","Released","Review release"),IF(P48="Rolled back","Rolled back",IF(OR(Q48&lt;&gt;"",COUNTIFS(J48:N48,"Blocked")&gt;0),"Blocked",IF(OR(M48="Failed",N48="Rejected",AND(ISNUMBER(O48),O48&gt;0)),"Rework",IF(X48="Yes","Ready for release",IF(N48="Accepted","Verify completion",IF(OR(M48="Passed",M48="In progress",N48="In review"),"Testing / review",IF(OR(COUNTIFS(J48:L48,"In progress")&gt;0,COUNTIFS(J48:L48,"In review")&gt;0,COUNTIFS(J48:L48,"Done")&gt;0),"In progress",IF(COUNTIFS(J48:N48,"Not assessed")=5,"Not assessed","Planned")))))))))</f>
        <v/>
      </c>
      <c r="X48" s="15">
        <f>IF(AND(J48="Done",OR(K48="Done",K48="Not required"),OR(L48="Done",L48="Not required"),M48="Passed",N48="Accepted",ISNUMBER(O48),O48=0,Q48="",F48&lt;&gt;"",S48&lt;&gt;"",T48&lt;&gt;"",ISNUMBER(U48),OR(AND(K48&lt;&gt;"Not required",L48&lt;&gt;"Not required"),V48&lt;&gt;""),P48&lt;&gt;"Rolled back"),"Yes","No")</f>
        <v/>
      </c>
      <c r="Y48" s="15">
        <f>IF(X48="Yes","Completed",IF(H48="","No deadline",IF(NOT(ISNUMBER(H48)),"Check date",IF(H48&lt;Overview!$I$3,"Overdue",IF(H48&lt;=Overview!$I$3+7,"Due soon","On track")))))</f>
        <v/>
      </c>
      <c r="Z48" s="37">
        <f>IF(AND(X48&lt;&gt;"Yes",ISNUMBER(H48)),MAX(0,Overview!$I$3-H48),0)</f>
        <v/>
      </c>
      <c r="AA48" s="5" t="inlineStr">
        <is>
          <t>Librarian</t>
        </is>
      </c>
      <c r="AB48" t="inlineStr">
        <is>
          <t>/staff</t>
        </is>
      </c>
    </row>
    <row r="49" ht="35" customHeight="1">
      <c r="A49" s="2" t="inlineStr">
        <is>
          <t>SCR-043</t>
        </is>
      </c>
      <c r="B49" s="5" t="inlineStr">
        <is>
          <t>Admission / Enquiry Dashboard</t>
        </is>
      </c>
      <c r="C49" s="5" t="inlineStr">
        <is>
          <t>Admissions &amp; Enquiries</t>
        </is>
      </c>
      <c r="D49" s="2" t="inlineStr">
        <is>
          <t>MVP</t>
        </is>
      </c>
      <c r="E49" s="2" t="inlineStr">
        <is>
          <t>US-0085, US-0086</t>
        </is>
      </c>
      <c r="F49" s="24" t="n"/>
      <c r="G49" s="24" t="n"/>
      <c r="H49" s="32" t="n"/>
      <c r="I49" s="2" t="inlineStr">
        <is>
          <t>Ready</t>
        </is>
      </c>
      <c r="J49" s="33" t="inlineStr">
        <is>
          <t>Done</t>
        </is>
      </c>
      <c r="K49" s="33" t="inlineStr">
        <is>
          <t>Done</t>
        </is>
      </c>
      <c r="L49" s="24" t="inlineStr">
        <is>
          <t>Not assessed</t>
        </is>
      </c>
      <c r="M49" s="24" t="inlineStr">
        <is>
          <t>Not assessed</t>
        </is>
      </c>
      <c r="N49" s="24" t="inlineStr">
        <is>
          <t>Not assessed</t>
        </is>
      </c>
      <c r="O49" s="35" t="n"/>
      <c r="P49" s="24" t="inlineStr">
        <is>
          <t>Not scheduled</t>
        </is>
      </c>
      <c r="Q49" s="24" t="n"/>
      <c r="R49" s="24" t="inlineStr">
        <is>
          <t>Funnel, plus what is waiting on us</t>
        </is>
      </c>
      <c r="S49" s="24" t="n"/>
      <c r="T49" s="24" t="n"/>
      <c r="U49" s="36" t="n">
        <v>46285</v>
      </c>
      <c r="V49" s="24" t="n"/>
      <c r="W49" s="15">
        <f>IF(P49="Production",IF(X49="Yes","Released","Review release"),IF(P49="Rolled back","Rolled back",IF(OR(Q49&lt;&gt;"",COUNTIFS(J49:N49,"Blocked")&gt;0),"Blocked",IF(OR(M49="Failed",N49="Rejected",AND(ISNUMBER(O49),O49&gt;0)),"Rework",IF(X49="Yes","Ready for release",IF(N49="Accepted","Verify completion",IF(OR(M49="Passed",M49="In progress",N49="In review"),"Testing / review",IF(OR(COUNTIFS(J49:L49,"In progress")&gt;0,COUNTIFS(J49:L49,"In review")&gt;0,COUNTIFS(J49:L49,"Done")&gt;0),"In progress",IF(COUNTIFS(J49:N49,"Not assessed")=5,"Not assessed","Planned")))))))))</f>
        <v/>
      </c>
      <c r="X49" s="15">
        <f>IF(AND(J49="Done",OR(K49="Done",K49="Not required"),OR(L49="Done",L49="Not required"),M49="Passed",N49="Accepted",ISNUMBER(O49),O49=0,Q49="",F49&lt;&gt;"",S49&lt;&gt;"",T49&lt;&gt;"",ISNUMBER(U49),OR(AND(K49&lt;&gt;"Not required",L49&lt;&gt;"Not required"),V49&lt;&gt;""),P49&lt;&gt;"Rolled back"),"Yes","No")</f>
        <v/>
      </c>
      <c r="Y49" s="15">
        <f>IF(X49="Yes","Completed",IF(H49="","No deadline",IF(NOT(ISNUMBER(H49)),"Check date",IF(H49&lt;Overview!$I$3,"Overdue",IF(H49&lt;=Overview!$I$3+7,"Due soon","On track")))))</f>
        <v/>
      </c>
      <c r="Z49" s="37">
        <f>IF(AND(X49&lt;&gt;"Yes",ISNUMBER(H49)),MAX(0,Overview!$I$3-H49),0)</f>
        <v/>
      </c>
      <c r="AA49" s="5" t="inlineStr">
        <is>
          <t>Admission Officer</t>
        </is>
      </c>
      <c r="AB49" t="inlineStr">
        <is>
          <t>/school/admissions/dashboard</t>
        </is>
      </c>
    </row>
    <row r="50" ht="35" customHeight="1">
      <c r="A50" s="2" t="inlineStr">
        <is>
          <t>SCR-044</t>
        </is>
      </c>
      <c r="B50" s="5" t="inlineStr">
        <is>
          <t>Enquiry List</t>
        </is>
      </c>
      <c r="C50" s="5" t="inlineStr">
        <is>
          <t>Admissions &amp; Enquiries</t>
        </is>
      </c>
      <c r="D50" s="2" t="inlineStr">
        <is>
          <t>MVP</t>
        </is>
      </c>
      <c r="E50" s="2" t="inlineStr">
        <is>
          <t>US-0087, US-0088</t>
        </is>
      </c>
      <c r="F50" s="24" t="n"/>
      <c r="G50" s="24" t="n"/>
      <c r="H50" s="32" t="n"/>
      <c r="I50" s="2" t="inlineStr">
        <is>
          <t>Ready</t>
        </is>
      </c>
      <c r="J50" s="33" t="inlineStr">
        <is>
          <t>Done</t>
        </is>
      </c>
      <c r="K50" s="33" t="inlineStr">
        <is>
          <t>Done</t>
        </is>
      </c>
      <c r="L50" s="24" t="inlineStr">
        <is>
          <t>Not assessed</t>
        </is>
      </c>
      <c r="M50" s="24" t="inlineStr">
        <is>
          <t>Not assessed</t>
        </is>
      </c>
      <c r="N50" s="24" t="inlineStr">
        <is>
          <t>Not assessed</t>
        </is>
      </c>
      <c r="O50" s="35" t="n"/>
      <c r="P50" s="24" t="inlineStr">
        <is>
          <t>Not scheduled</t>
        </is>
      </c>
      <c r="Q50" s="24" t="n"/>
      <c r="R50" s="24" t="inlineStr">
        <is>
          <t>Stage, source and follow-up filters with paging</t>
        </is>
      </c>
      <c r="S50" s="24" t="n"/>
      <c r="T50" s="24" t="n"/>
      <c r="U50" s="36" t="n">
        <v>46285</v>
      </c>
      <c r="V50" s="24" t="n"/>
      <c r="W50" s="15">
        <f>IF(P50="Production",IF(X50="Yes","Released","Review release"),IF(P50="Rolled back","Rolled back",IF(OR(Q50&lt;&gt;"",COUNTIFS(J50:N50,"Blocked")&gt;0),"Blocked",IF(OR(M50="Failed",N50="Rejected",AND(ISNUMBER(O50),O50&gt;0)),"Rework",IF(X50="Yes","Ready for release",IF(N50="Accepted","Verify completion",IF(OR(M50="Passed",M50="In progress",N50="In review"),"Testing / review",IF(OR(COUNTIFS(J50:L50,"In progress")&gt;0,COUNTIFS(J50:L50,"In review")&gt;0,COUNTIFS(J50:L50,"Done")&gt;0),"In progress",IF(COUNTIFS(J50:N50,"Not assessed")=5,"Not assessed","Planned")))))))))</f>
        <v/>
      </c>
      <c r="X50" s="15">
        <f>IF(AND(J50="Done",OR(K50="Done",K50="Not required"),OR(L50="Done",L50="Not required"),M50="Passed",N50="Accepted",ISNUMBER(O50),O50=0,Q50="",F50&lt;&gt;"",S50&lt;&gt;"",T50&lt;&gt;"",ISNUMBER(U50),OR(AND(K50&lt;&gt;"Not required",L50&lt;&gt;"Not required"),V50&lt;&gt;""),P50&lt;&gt;"Rolled back"),"Yes","No")</f>
        <v/>
      </c>
      <c r="Y50" s="15">
        <f>IF(X50="Yes","Completed",IF(H50="","No deadline",IF(NOT(ISNUMBER(H50)),"Check date",IF(H50&lt;Overview!$I$3,"Overdue",IF(H50&lt;=Overview!$I$3+7,"Due soon","On track")))))</f>
        <v/>
      </c>
      <c r="Z50" s="37">
        <f>IF(AND(X50&lt;&gt;"Yes",ISNUMBER(H50)),MAX(0,Overview!$I$3-H50),0)</f>
        <v/>
      </c>
      <c r="AA50" s="5" t="inlineStr">
        <is>
          <t>Admission Officer</t>
        </is>
      </c>
      <c r="AB50" t="inlineStr">
        <is>
          <t>/school/admissions</t>
        </is>
      </c>
    </row>
    <row r="51" ht="35" customHeight="1">
      <c r="A51" s="2" t="inlineStr">
        <is>
          <t>SCR-045</t>
        </is>
      </c>
      <c r="B51" s="5" t="inlineStr">
        <is>
          <t>Add Enquiry</t>
        </is>
      </c>
      <c r="C51" s="5" t="inlineStr">
        <is>
          <t>Admissions &amp; Enquiries</t>
        </is>
      </c>
      <c r="D51" s="2" t="inlineStr">
        <is>
          <t>MVP</t>
        </is>
      </c>
      <c r="E51" s="2" t="inlineStr">
        <is>
          <t>US-0089, US-0090</t>
        </is>
      </c>
      <c r="F51" s="24" t="n"/>
      <c r="G51" s="24" t="n"/>
      <c r="H51" s="32" t="n"/>
      <c r="I51" s="2" t="inlineStr">
        <is>
          <t>Ready</t>
        </is>
      </c>
      <c r="J51" s="33" t="inlineStr">
        <is>
          <t>Done</t>
        </is>
      </c>
      <c r="K51" s="33" t="inlineStr">
        <is>
          <t>Done</t>
        </is>
      </c>
      <c r="L51" s="24" t="inlineStr">
        <is>
          <t>Not assessed</t>
        </is>
      </c>
      <c r="M51" s="24" t="inlineStr">
        <is>
          <t>Not assessed</t>
        </is>
      </c>
      <c r="N51" s="24" t="inlineStr">
        <is>
          <t>Not assessed</t>
        </is>
      </c>
      <c r="O51" s="35" t="n"/>
      <c r="P51" s="24" t="inlineStr">
        <is>
          <t>Not scheduled</t>
        </is>
      </c>
      <c r="Q51" s="24" t="n"/>
      <c r="R51" s="24" t="inlineStr">
        <is>
          <t>New enquiry modal, full field set</t>
        </is>
      </c>
      <c r="S51" s="24" t="n"/>
      <c r="T51" s="24" t="n"/>
      <c r="U51" s="36" t="n">
        <v>46285</v>
      </c>
      <c r="V51" s="24" t="n"/>
      <c r="W51" s="15">
        <f>IF(P51="Production",IF(X51="Yes","Released","Review release"),IF(P51="Rolled back","Rolled back",IF(OR(Q51&lt;&gt;"",COUNTIFS(J51:N51,"Blocked")&gt;0),"Blocked",IF(OR(M51="Failed",N51="Rejected",AND(ISNUMBER(O51),O51&gt;0)),"Rework",IF(X51="Yes","Ready for release",IF(N51="Accepted","Verify completion",IF(OR(M51="Passed",M51="In progress",N51="In review"),"Testing / review",IF(OR(COUNTIFS(J51:L51,"In progress")&gt;0,COUNTIFS(J51:L51,"In review")&gt;0,COUNTIFS(J51:L51,"Done")&gt;0),"In progress",IF(COUNTIFS(J51:N51,"Not assessed")=5,"Not assessed","Planned")))))))))</f>
        <v/>
      </c>
      <c r="X51" s="15">
        <f>IF(AND(J51="Done",OR(K51="Done",K51="Not required"),OR(L51="Done",L51="Not required"),M51="Passed",N51="Accepted",ISNUMBER(O51),O51=0,Q51="",F51&lt;&gt;"",S51&lt;&gt;"",T51&lt;&gt;"",ISNUMBER(U51),OR(AND(K51&lt;&gt;"Not required",L51&lt;&gt;"Not required"),V51&lt;&gt;""),P51&lt;&gt;"Rolled back"),"Yes","No")</f>
        <v/>
      </c>
      <c r="Y51" s="15">
        <f>IF(X51="Yes","Completed",IF(H51="","No deadline",IF(NOT(ISNUMBER(H51)),"Check date",IF(H51&lt;Overview!$I$3,"Overdue",IF(H51&lt;=Overview!$I$3+7,"Due soon","On track")))))</f>
        <v/>
      </c>
      <c r="Z51" s="37">
        <f>IF(AND(X51&lt;&gt;"Yes",ISNUMBER(H51)),MAX(0,Overview!$I$3-H51),0)</f>
        <v/>
      </c>
      <c r="AA51" s="5" t="inlineStr">
        <is>
          <t>Admission Officer</t>
        </is>
      </c>
      <c r="AB51" t="inlineStr">
        <is>
          <t>/school/admissions</t>
        </is>
      </c>
    </row>
    <row r="52" ht="35" customHeight="1">
      <c r="A52" s="2" t="inlineStr">
        <is>
          <t>SCR-046</t>
        </is>
      </c>
      <c r="B52" s="5" t="inlineStr">
        <is>
          <t>Enquiry Details</t>
        </is>
      </c>
      <c r="C52" s="5" t="inlineStr">
        <is>
          <t>Admissions &amp; Enquiries</t>
        </is>
      </c>
      <c r="D52" s="2" t="inlineStr">
        <is>
          <t>MVP</t>
        </is>
      </c>
      <c r="E52" s="2" t="inlineStr">
        <is>
          <t>US-0091, US-0092</t>
        </is>
      </c>
      <c r="F52" s="24" t="n"/>
      <c r="G52" s="24" t="n"/>
      <c r="H52" s="32" t="n"/>
      <c r="I52" s="2" t="inlineStr">
        <is>
          <t>Ready</t>
        </is>
      </c>
      <c r="J52" s="33" t="inlineStr">
        <is>
          <t>Done</t>
        </is>
      </c>
      <c r="K52" s="33" t="inlineStr">
        <is>
          <t>Done</t>
        </is>
      </c>
      <c r="L52" s="24" t="inlineStr">
        <is>
          <t>Not assessed</t>
        </is>
      </c>
      <c r="M52" s="24" t="inlineStr">
        <is>
          <t>Not assessed</t>
        </is>
      </c>
      <c r="N52" s="24" t="inlineStr">
        <is>
          <t>Not assessed</t>
        </is>
      </c>
      <c r="O52" s="35" t="n"/>
      <c r="P52" s="24" t="inlineStr">
        <is>
          <t>Not scheduled</t>
        </is>
      </c>
      <c r="Q52" s="24" t="n"/>
      <c r="R52" s="24" t="inlineStr">
        <is>
          <t>Stage moves, timeline, convert, lost</t>
        </is>
      </c>
      <c r="S52" s="24" t="n"/>
      <c r="T52" s="24" t="n"/>
      <c r="U52" s="36" t="n">
        <v>46285</v>
      </c>
      <c r="V52" s="24" t="n"/>
      <c r="W52" s="15">
        <f>IF(P52="Production",IF(X52="Yes","Released","Review release"),IF(P52="Rolled back","Rolled back",IF(OR(Q52&lt;&gt;"",COUNTIFS(J52:N52,"Blocked")&gt;0),"Blocked",IF(OR(M52="Failed",N52="Rejected",AND(ISNUMBER(O52),O52&gt;0)),"Rework",IF(X52="Yes","Ready for release",IF(N52="Accepted","Verify completion",IF(OR(M52="Passed",M52="In progress",N52="In review"),"Testing / review",IF(OR(COUNTIFS(J52:L52,"In progress")&gt;0,COUNTIFS(J52:L52,"In review")&gt;0,COUNTIFS(J52:L52,"Done")&gt;0),"In progress",IF(COUNTIFS(J52:N52,"Not assessed")=5,"Not assessed","Planned")))))))))</f>
        <v/>
      </c>
      <c r="X52" s="15">
        <f>IF(AND(J52="Done",OR(K52="Done",K52="Not required"),OR(L52="Done",L52="Not required"),M52="Passed",N52="Accepted",ISNUMBER(O52),O52=0,Q52="",F52&lt;&gt;"",S52&lt;&gt;"",T52&lt;&gt;"",ISNUMBER(U52),OR(AND(K52&lt;&gt;"Not required",L52&lt;&gt;"Not required"),V52&lt;&gt;""),P52&lt;&gt;"Rolled back"),"Yes","No")</f>
        <v/>
      </c>
      <c r="Y52" s="15">
        <f>IF(X52="Yes","Completed",IF(H52="","No deadline",IF(NOT(ISNUMBER(H52)),"Check date",IF(H52&lt;Overview!$I$3,"Overdue",IF(H52&lt;=Overview!$I$3+7,"Due soon","On track")))))</f>
        <v/>
      </c>
      <c r="Z52" s="37">
        <f>IF(AND(X52&lt;&gt;"Yes",ISNUMBER(H52)),MAX(0,Overview!$I$3-H52),0)</f>
        <v/>
      </c>
      <c r="AA52" s="5" t="inlineStr">
        <is>
          <t>Admission Officer</t>
        </is>
      </c>
      <c r="AB52" t="inlineStr">
        <is>
          <t>/school/admissions/[id]</t>
        </is>
      </c>
    </row>
    <row r="53" ht="35" customHeight="1">
      <c r="A53" s="2" t="inlineStr">
        <is>
          <t>SCR-047</t>
        </is>
      </c>
      <c r="B53" s="5" t="inlineStr">
        <is>
          <t>Follow-up Calendar</t>
        </is>
      </c>
      <c r="C53" s="5" t="inlineStr">
        <is>
          <t>Admissions &amp; Enquiries</t>
        </is>
      </c>
      <c r="D53" s="2" t="inlineStr">
        <is>
          <t>MVP</t>
        </is>
      </c>
      <c r="E53" s="2" t="inlineStr">
        <is>
          <t>US-0093, US-0094</t>
        </is>
      </c>
      <c r="F53" s="24" t="n"/>
      <c r="G53" s="24" t="n"/>
      <c r="H53" s="32" t="n"/>
      <c r="I53" s="2" t="inlineStr">
        <is>
          <t>Ready</t>
        </is>
      </c>
      <c r="J53" s="33" t="inlineStr">
        <is>
          <t>Done</t>
        </is>
      </c>
      <c r="K53" s="33" t="inlineStr">
        <is>
          <t>Done</t>
        </is>
      </c>
      <c r="L53" s="24" t="inlineStr">
        <is>
          <t>Not assessed</t>
        </is>
      </c>
      <c r="M53" s="24" t="inlineStr">
        <is>
          <t>Not assessed</t>
        </is>
      </c>
      <c r="N53" s="24" t="inlineStr">
        <is>
          <t>Not assessed</t>
        </is>
      </c>
      <c r="O53" s="35" t="n"/>
      <c r="P53" s="24" t="inlineStr">
        <is>
          <t>Not scheduled</t>
        </is>
      </c>
      <c r="Q53" s="24" t="n"/>
      <c r="R53" s="24" t="inlineStr">
        <is>
          <t>Grouped overdue, today, this week, later</t>
        </is>
      </c>
      <c r="S53" s="24" t="n"/>
      <c r="T53" s="24" t="n"/>
      <c r="U53" s="36" t="n">
        <v>46285</v>
      </c>
      <c r="V53" s="24" t="n"/>
      <c r="W53" s="15">
        <f>IF(P53="Production",IF(X53="Yes","Released","Review release"),IF(P53="Rolled back","Rolled back",IF(OR(Q53&lt;&gt;"",COUNTIFS(J53:N53,"Blocked")&gt;0),"Blocked",IF(OR(M53="Failed",N53="Rejected",AND(ISNUMBER(O53),O53&gt;0)),"Rework",IF(X53="Yes","Ready for release",IF(N53="Accepted","Verify completion",IF(OR(M53="Passed",M53="In progress",N53="In review"),"Testing / review",IF(OR(COUNTIFS(J53:L53,"In progress")&gt;0,COUNTIFS(J53:L53,"In review")&gt;0,COUNTIFS(J53:L53,"Done")&gt;0),"In progress",IF(COUNTIFS(J53:N53,"Not assessed")=5,"Not assessed","Planned")))))))))</f>
        <v/>
      </c>
      <c r="X53" s="15">
        <f>IF(AND(J53="Done",OR(K53="Done",K53="Not required"),OR(L53="Done",L53="Not required"),M53="Passed",N53="Accepted",ISNUMBER(O53),O53=0,Q53="",F53&lt;&gt;"",S53&lt;&gt;"",T53&lt;&gt;"",ISNUMBER(U53),OR(AND(K53&lt;&gt;"Not required",L53&lt;&gt;"Not required"),V53&lt;&gt;""),P53&lt;&gt;"Rolled back"),"Yes","No")</f>
        <v/>
      </c>
      <c r="Y53" s="15">
        <f>IF(X53="Yes","Completed",IF(H53="","No deadline",IF(NOT(ISNUMBER(H53)),"Check date",IF(H53&lt;Overview!$I$3,"Overdue",IF(H53&lt;=Overview!$I$3+7,"Due soon","On track")))))</f>
        <v/>
      </c>
      <c r="Z53" s="37">
        <f>IF(AND(X53&lt;&gt;"Yes",ISNUMBER(H53)),MAX(0,Overview!$I$3-H53),0)</f>
        <v/>
      </c>
      <c r="AA53" s="5" t="inlineStr">
        <is>
          <t>Admission Officer</t>
        </is>
      </c>
      <c r="AB53" t="inlineStr">
        <is>
          <t>/school/admissions/follow-ups</t>
        </is>
      </c>
    </row>
    <row r="54" ht="35" customHeight="1">
      <c r="A54" s="2" t="inlineStr">
        <is>
          <t>SCR-048</t>
        </is>
      </c>
      <c r="B54" s="5" t="inlineStr">
        <is>
          <t>Admission Applications</t>
        </is>
      </c>
      <c r="C54" s="5" t="inlineStr">
        <is>
          <t>Admissions &amp; Enquiries</t>
        </is>
      </c>
      <c r="D54" s="2" t="inlineStr">
        <is>
          <t>MVP</t>
        </is>
      </c>
      <c r="E54" s="2" t="inlineStr">
        <is>
          <t>US-0095, US-0096</t>
        </is>
      </c>
      <c r="F54" s="24" t="n"/>
      <c r="G54" s="24" t="n"/>
      <c r="H54" s="32" t="n"/>
      <c r="I54" s="2" t="inlineStr">
        <is>
          <t>Ready</t>
        </is>
      </c>
      <c r="J54" s="33" t="inlineStr">
        <is>
          <t>Done</t>
        </is>
      </c>
      <c r="K54" s="33" t="inlineStr">
        <is>
          <t>Done</t>
        </is>
      </c>
      <c r="L54" s="24" t="inlineStr">
        <is>
          <t>Not assessed</t>
        </is>
      </c>
      <c r="M54" s="24" t="inlineStr">
        <is>
          <t>Not assessed</t>
        </is>
      </c>
      <c r="N54" s="24" t="inlineStr">
        <is>
          <t>Not assessed</t>
        </is>
      </c>
      <c r="O54" s="35" t="n"/>
      <c r="P54" s="24" t="inlineStr">
        <is>
          <t>Not scheduled</t>
        </is>
      </c>
      <c r="Q54" s="24" t="n"/>
      <c r="R54" s="24" t="inlineStr">
        <is>
          <t>Status filter, search, list</t>
        </is>
      </c>
      <c r="S54" s="24" t="n"/>
      <c r="T54" s="24" t="n"/>
      <c r="U54" s="36" t="n">
        <v>46285</v>
      </c>
      <c r="V54" s="24" t="n"/>
      <c r="W54" s="15">
        <f>IF(P54="Production",IF(X54="Yes","Released","Review release"),IF(P54="Rolled back","Rolled back",IF(OR(Q54&lt;&gt;"",COUNTIFS(J54:N54,"Blocked")&gt;0),"Blocked",IF(OR(M54="Failed",N54="Rejected",AND(ISNUMBER(O54),O54&gt;0)),"Rework",IF(X54="Yes","Ready for release",IF(N54="Accepted","Verify completion",IF(OR(M54="Passed",M54="In progress",N54="In review"),"Testing / review",IF(OR(COUNTIFS(J54:L54,"In progress")&gt;0,COUNTIFS(J54:L54,"In review")&gt;0,COUNTIFS(J54:L54,"Done")&gt;0),"In progress",IF(COUNTIFS(J54:N54,"Not assessed")=5,"Not assessed","Planned")))))))))</f>
        <v/>
      </c>
      <c r="X54" s="15">
        <f>IF(AND(J54="Done",OR(K54="Done",K54="Not required"),OR(L54="Done",L54="Not required"),M54="Passed",N54="Accepted",ISNUMBER(O54),O54=0,Q54="",F54&lt;&gt;"",S54&lt;&gt;"",T54&lt;&gt;"",ISNUMBER(U54),OR(AND(K54&lt;&gt;"Not required",L54&lt;&gt;"Not required"),V54&lt;&gt;""),P54&lt;&gt;"Rolled back"),"Yes","No")</f>
        <v/>
      </c>
      <c r="Y54" s="15">
        <f>IF(X54="Yes","Completed",IF(H54="","No deadline",IF(NOT(ISNUMBER(H54)),"Check date",IF(H54&lt;Overview!$I$3,"Overdue",IF(H54&lt;=Overview!$I$3+7,"Due soon","On track")))))</f>
        <v/>
      </c>
      <c r="Z54" s="37">
        <f>IF(AND(X54&lt;&gt;"Yes",ISNUMBER(H54)),MAX(0,Overview!$I$3-H54),0)</f>
        <v/>
      </c>
      <c r="AA54" s="5" t="inlineStr">
        <is>
          <t>Admission Officer</t>
        </is>
      </c>
      <c r="AB54" t="inlineStr">
        <is>
          <t>/school/admissions/applications</t>
        </is>
      </c>
    </row>
    <row r="55" ht="35" customHeight="1">
      <c r="A55" s="2" t="inlineStr">
        <is>
          <t>SCR-049</t>
        </is>
      </c>
      <c r="B55" s="5" t="inlineStr">
        <is>
          <t>New Admission Application</t>
        </is>
      </c>
      <c r="C55" s="5" t="inlineStr">
        <is>
          <t>Admissions &amp; Enquiries</t>
        </is>
      </c>
      <c r="D55" s="2" t="inlineStr">
        <is>
          <t>MVP</t>
        </is>
      </c>
      <c r="E55" s="2" t="inlineStr">
        <is>
          <t>US-0097, US-0098</t>
        </is>
      </c>
      <c r="F55" s="24" t="n"/>
      <c r="G55" s="24" t="n"/>
      <c r="H55" s="32" t="n"/>
      <c r="I55" s="2" t="inlineStr">
        <is>
          <t>Ready</t>
        </is>
      </c>
      <c r="J55" s="33" t="inlineStr">
        <is>
          <t>Done</t>
        </is>
      </c>
      <c r="K55" s="33" t="inlineStr">
        <is>
          <t>Done</t>
        </is>
      </c>
      <c r="L55" s="24" t="inlineStr">
        <is>
          <t>Not assessed</t>
        </is>
      </c>
      <c r="M55" s="24" t="inlineStr">
        <is>
          <t>Not assessed</t>
        </is>
      </c>
      <c r="N55" s="24" t="inlineStr">
        <is>
          <t>Not assessed</t>
        </is>
      </c>
      <c r="O55" s="35" t="n"/>
      <c r="P55" s="24" t="inlineStr">
        <is>
          <t>Not scheduled</t>
        </is>
      </c>
      <c r="Q55" s="24" t="n"/>
      <c r="R55" s="24" t="inlineStr">
        <is>
          <t>Staff modal and public form both exist</t>
        </is>
      </c>
      <c r="S55" s="24" t="n"/>
      <c r="T55" s="24" t="n"/>
      <c r="U55" s="36" t="n">
        <v>46285</v>
      </c>
      <c r="V55" s="24" t="n"/>
      <c r="W55" s="15">
        <f>IF(P55="Production",IF(X55="Yes","Released","Review release"),IF(P55="Rolled back","Rolled back",IF(OR(Q55&lt;&gt;"",COUNTIFS(J55:N55,"Blocked")&gt;0),"Blocked",IF(OR(M55="Failed",N55="Rejected",AND(ISNUMBER(O55),O55&gt;0)),"Rework",IF(X55="Yes","Ready for release",IF(N55="Accepted","Verify completion",IF(OR(M55="Passed",M55="In progress",N55="In review"),"Testing / review",IF(OR(COUNTIFS(J55:L55,"In progress")&gt;0,COUNTIFS(J55:L55,"In review")&gt;0,COUNTIFS(J55:L55,"Done")&gt;0),"In progress",IF(COUNTIFS(J55:N55,"Not assessed")=5,"Not assessed","Planned")))))))))</f>
        <v/>
      </c>
      <c r="X55" s="15">
        <f>IF(AND(J55="Done",OR(K55="Done",K55="Not required"),OR(L55="Done",L55="Not required"),M55="Passed",N55="Accepted",ISNUMBER(O55),O55=0,Q55="",F55&lt;&gt;"",S55&lt;&gt;"",T55&lt;&gt;"",ISNUMBER(U55),OR(AND(K55&lt;&gt;"Not required",L55&lt;&gt;"Not required"),V55&lt;&gt;""),P55&lt;&gt;"Rolled back"),"Yes","No")</f>
        <v/>
      </c>
      <c r="Y55" s="15">
        <f>IF(X55="Yes","Completed",IF(H55="","No deadline",IF(NOT(ISNUMBER(H55)),"Check date",IF(H55&lt;Overview!$I$3,"Overdue",IF(H55&lt;=Overview!$I$3+7,"Due soon","On track")))))</f>
        <v/>
      </c>
      <c r="Z55" s="37">
        <f>IF(AND(X55&lt;&gt;"Yes",ISNUMBER(H55)),MAX(0,Overview!$I$3-H55),0)</f>
        <v/>
      </c>
      <c r="AA55" s="5" t="inlineStr">
        <is>
          <t>Admission Officer</t>
        </is>
      </c>
      <c r="AB55" t="inlineStr">
        <is>
          <t>/apply/[tenant]/[school]/application</t>
        </is>
      </c>
    </row>
    <row r="56" ht="35" customHeight="1">
      <c r="A56" s="2" t="inlineStr">
        <is>
          <t>SCR-050</t>
        </is>
      </c>
      <c r="B56" s="5" t="inlineStr">
        <is>
          <t>Application Details</t>
        </is>
      </c>
      <c r="C56" s="5" t="inlineStr">
        <is>
          <t>Admissions &amp; Enquiries</t>
        </is>
      </c>
      <c r="D56" s="2" t="inlineStr">
        <is>
          <t>Phase 2</t>
        </is>
      </c>
      <c r="E56" s="2" t="inlineStr">
        <is>
          <t>US-0099, US-0100</t>
        </is>
      </c>
      <c r="F56" s="24" t="n"/>
      <c r="G56" s="24" t="n"/>
      <c r="H56" s="32" t="n"/>
      <c r="I56" s="2" t="inlineStr">
        <is>
          <t>Ready</t>
        </is>
      </c>
      <c r="J56" s="33" t="inlineStr">
        <is>
          <t>Done</t>
        </is>
      </c>
      <c r="K56" s="33" t="inlineStr">
        <is>
          <t>Done</t>
        </is>
      </c>
      <c r="L56" s="24" t="inlineStr">
        <is>
          <t>Not assessed</t>
        </is>
      </c>
      <c r="M56" s="24" t="inlineStr">
        <is>
          <t>Not assessed</t>
        </is>
      </c>
      <c r="N56" s="24" t="inlineStr">
        <is>
          <t>Not assessed</t>
        </is>
      </c>
      <c r="O56" s="35" t="n"/>
      <c r="P56" s="24" t="inlineStr">
        <is>
          <t>Not scheduled</t>
        </is>
      </c>
      <c r="Q56" s="24" t="n"/>
      <c r="R56" s="24" t="inlineStr">
        <is>
          <t>Profile, docs, assessments, fee, history</t>
        </is>
      </c>
      <c r="S56" s="24" t="n"/>
      <c r="T56" s="24" t="n"/>
      <c r="U56" s="36" t="n">
        <v>46285</v>
      </c>
      <c r="V56" s="24" t="n"/>
      <c r="W56" s="15">
        <f>IF(P56="Production",IF(X56="Yes","Released","Review release"),IF(P56="Rolled back","Rolled back",IF(OR(Q56&lt;&gt;"",COUNTIFS(J56:N56,"Blocked")&gt;0),"Blocked",IF(OR(M56="Failed",N56="Rejected",AND(ISNUMBER(O56),O56&gt;0)),"Rework",IF(X56="Yes","Ready for release",IF(N56="Accepted","Verify completion",IF(OR(M56="Passed",M56="In progress",N56="In review"),"Testing / review",IF(OR(COUNTIFS(J56:L56,"In progress")&gt;0,COUNTIFS(J56:L56,"In review")&gt;0,COUNTIFS(J56:L56,"Done")&gt;0),"In progress",IF(COUNTIFS(J56:N56,"Not assessed")=5,"Not assessed","Planned")))))))))</f>
        <v/>
      </c>
      <c r="X56" s="15">
        <f>IF(AND(J56="Done",OR(K56="Done",K56="Not required"),OR(L56="Done",L56="Not required"),M56="Passed",N56="Accepted",ISNUMBER(O56),O56=0,Q56="",F56&lt;&gt;"",S56&lt;&gt;"",T56&lt;&gt;"",ISNUMBER(U56),OR(AND(K56&lt;&gt;"Not required",L56&lt;&gt;"Not required"),V56&lt;&gt;""),P56&lt;&gt;"Rolled back"),"Yes","No")</f>
        <v/>
      </c>
      <c r="Y56" s="15">
        <f>IF(X56="Yes","Completed",IF(H56="","No deadline",IF(NOT(ISNUMBER(H56)),"Check date",IF(H56&lt;Overview!$I$3,"Overdue",IF(H56&lt;=Overview!$I$3+7,"Due soon","On track")))))</f>
        <v/>
      </c>
      <c r="Z56" s="37">
        <f>IF(AND(X56&lt;&gt;"Yes",ISNUMBER(H56)),MAX(0,Overview!$I$3-H56),0)</f>
        <v/>
      </c>
      <c r="AA56" s="5" t="inlineStr">
        <is>
          <t>Admission Officer</t>
        </is>
      </c>
      <c r="AB56" t="inlineStr">
        <is>
          <t>/school/admissions/applications</t>
        </is>
      </c>
    </row>
    <row r="57" ht="35" customHeight="1">
      <c r="A57" s="2" t="inlineStr">
        <is>
          <t>SCR-051</t>
        </is>
      </c>
      <c r="B57" s="5" t="inlineStr">
        <is>
          <t>Document Verification</t>
        </is>
      </c>
      <c r="C57" s="5" t="inlineStr">
        <is>
          <t>Admissions &amp; Enquiries</t>
        </is>
      </c>
      <c r="D57" s="2" t="inlineStr">
        <is>
          <t>Phase 2</t>
        </is>
      </c>
      <c r="E57" s="2" t="inlineStr">
        <is>
          <t>US-0101, US-0102</t>
        </is>
      </c>
      <c r="F57" s="24" t="n"/>
      <c r="G57" s="24" t="n"/>
      <c r="H57" s="32" t="n"/>
      <c r="I57" s="2" t="inlineStr">
        <is>
          <t>Ready</t>
        </is>
      </c>
      <c r="J57" s="33" t="inlineStr">
        <is>
          <t>Done</t>
        </is>
      </c>
      <c r="K57" s="33" t="inlineStr">
        <is>
          <t>Done</t>
        </is>
      </c>
      <c r="L57" s="24" t="inlineStr">
        <is>
          <t>Not assessed</t>
        </is>
      </c>
      <c r="M57" s="24" t="inlineStr">
        <is>
          <t>Not assessed</t>
        </is>
      </c>
      <c r="N57" s="24" t="inlineStr">
        <is>
          <t>Not assessed</t>
        </is>
      </c>
      <c r="O57" s="35" t="n"/>
      <c r="P57" s="24" t="inlineStr">
        <is>
          <t>Not scheduled</t>
        </is>
      </c>
      <c r="Q57" s="24" t="n"/>
      <c r="R57" s="24" t="inlineStr">
        <is>
          <t>One queue across applications, verify or reject with a reason</t>
        </is>
      </c>
      <c r="S57" s="24" t="n"/>
      <c r="T57" s="24" t="n"/>
      <c r="U57" s="36" t="n">
        <v>46285</v>
      </c>
      <c r="V57" s="24" t="n"/>
      <c r="W57" s="15">
        <f>IF(P57="Production",IF(X57="Yes","Released","Review release"),IF(P57="Rolled back","Rolled back",IF(OR(Q57&lt;&gt;"",COUNTIFS(J57:N57,"Blocked")&gt;0),"Blocked",IF(OR(M57="Failed",N57="Rejected",AND(ISNUMBER(O57),O57&gt;0)),"Rework",IF(X57="Yes","Ready for release",IF(N57="Accepted","Verify completion",IF(OR(M57="Passed",M57="In progress",N57="In review"),"Testing / review",IF(OR(COUNTIFS(J57:L57,"In progress")&gt;0,COUNTIFS(J57:L57,"In review")&gt;0,COUNTIFS(J57:L57,"Done")&gt;0),"In progress",IF(COUNTIFS(J57:N57,"Not assessed")=5,"Not assessed","Planned")))))))))</f>
        <v/>
      </c>
      <c r="X57" s="15">
        <f>IF(AND(J57="Done",OR(K57="Done",K57="Not required"),OR(L57="Done",L57="Not required"),M57="Passed",N57="Accepted",ISNUMBER(O57),O57=0,Q57="",F57&lt;&gt;"",S57&lt;&gt;"",T57&lt;&gt;"",ISNUMBER(U57),OR(AND(K57&lt;&gt;"Not required",L57&lt;&gt;"Not required"),V57&lt;&gt;""),P57&lt;&gt;"Rolled back"),"Yes","No")</f>
        <v/>
      </c>
      <c r="Y57" s="15">
        <f>IF(X57="Yes","Completed",IF(H57="","No deadline",IF(NOT(ISNUMBER(H57)),"Check date",IF(H57&lt;Overview!$I$3,"Overdue",IF(H57&lt;=Overview!$I$3+7,"Due soon","On track")))))</f>
        <v/>
      </c>
      <c r="Z57" s="37">
        <f>IF(AND(X57&lt;&gt;"Yes",ISNUMBER(H57)),MAX(0,Overview!$I$3-H57),0)</f>
        <v/>
      </c>
      <c r="AA57" s="5" t="inlineStr">
        <is>
          <t>Admission Officer</t>
        </is>
      </c>
      <c r="AB57" t="inlineStr">
        <is>
          <t>/school/admissions/verification</t>
        </is>
      </c>
    </row>
    <row r="58" ht="35" customHeight="1">
      <c r="A58" s="2" t="inlineStr">
        <is>
          <t>SCR-052</t>
        </is>
      </c>
      <c r="B58" s="5" t="inlineStr">
        <is>
          <t>Entrance Assessment</t>
        </is>
      </c>
      <c r="C58" s="5" t="inlineStr">
        <is>
          <t>Admissions &amp; Enquiries</t>
        </is>
      </c>
      <c r="D58" s="2" t="inlineStr">
        <is>
          <t>Phase 2</t>
        </is>
      </c>
      <c r="E58" s="2" t="inlineStr">
        <is>
          <t>US-0103, US-0104</t>
        </is>
      </c>
      <c r="F58" s="24" t="n"/>
      <c r="G58" s="24" t="n"/>
      <c r="H58" s="32" t="n"/>
      <c r="I58" s="2" t="inlineStr">
        <is>
          <t>Ready</t>
        </is>
      </c>
      <c r="J58" s="33" t="inlineStr">
        <is>
          <t>Done</t>
        </is>
      </c>
      <c r="K58" s="33" t="inlineStr">
        <is>
          <t>Done</t>
        </is>
      </c>
      <c r="L58" s="24" t="inlineStr">
        <is>
          <t>Not assessed</t>
        </is>
      </c>
      <c r="M58" s="24" t="inlineStr">
        <is>
          <t>Not assessed</t>
        </is>
      </c>
      <c r="N58" s="24" t="inlineStr">
        <is>
          <t>Not assessed</t>
        </is>
      </c>
      <c r="O58" s="35" t="n"/>
      <c r="P58" s="24" t="inlineStr">
        <is>
          <t>Not scheduled</t>
        </is>
      </c>
      <c r="Q58" s="24" t="n"/>
      <c r="R58" s="24" t="inlineStr">
        <is>
          <t>A form, not a prompt; scheduled kept apart from marked</t>
        </is>
      </c>
      <c r="S58" s="24" t="n"/>
      <c r="T58" s="24" t="n"/>
      <c r="U58" s="36" t="n">
        <v>46285</v>
      </c>
      <c r="V58" s="24" t="n"/>
      <c r="W58" s="15">
        <f>IF(P58="Production",IF(X58="Yes","Released","Review release"),IF(P58="Rolled back","Rolled back",IF(OR(Q58&lt;&gt;"",COUNTIFS(J58:N58,"Blocked")&gt;0),"Blocked",IF(OR(M58="Failed",N58="Rejected",AND(ISNUMBER(O58),O58&gt;0)),"Rework",IF(X58="Yes","Ready for release",IF(N58="Accepted","Verify completion",IF(OR(M58="Passed",M58="In progress",N58="In review"),"Testing / review",IF(OR(COUNTIFS(J58:L58,"In progress")&gt;0,COUNTIFS(J58:L58,"In review")&gt;0,COUNTIFS(J58:L58,"Done")&gt;0),"In progress",IF(COUNTIFS(J58:N58,"Not assessed")=5,"Not assessed","Planned")))))))))</f>
        <v/>
      </c>
      <c r="X58" s="15">
        <f>IF(AND(J58="Done",OR(K58="Done",K58="Not required"),OR(L58="Done",L58="Not required"),M58="Passed",N58="Accepted",ISNUMBER(O58),O58=0,Q58="",F58&lt;&gt;"",S58&lt;&gt;"",T58&lt;&gt;"",ISNUMBER(U58),OR(AND(K58&lt;&gt;"Not required",L58&lt;&gt;"Not required"),V58&lt;&gt;""),P58&lt;&gt;"Rolled back"),"Yes","No")</f>
        <v/>
      </c>
      <c r="Y58" s="15">
        <f>IF(X58="Yes","Completed",IF(H58="","No deadline",IF(NOT(ISNUMBER(H58)),"Check date",IF(H58&lt;Overview!$I$3,"Overdue",IF(H58&lt;=Overview!$I$3+7,"Due soon","On track")))))</f>
        <v/>
      </c>
      <c r="Z58" s="37">
        <f>IF(AND(X58&lt;&gt;"Yes",ISNUMBER(H58)),MAX(0,Overview!$I$3-H58),0)</f>
        <v/>
      </c>
      <c r="AA58" s="5" t="inlineStr">
        <is>
          <t>Admission Officer</t>
        </is>
      </c>
      <c r="AB58" t="inlineStr">
        <is>
          <t>/school/admissions/assessments</t>
        </is>
      </c>
    </row>
    <row r="59" ht="35" customHeight="1">
      <c r="A59" s="2" t="inlineStr">
        <is>
          <t>SCR-053</t>
        </is>
      </c>
      <c r="B59" s="5" t="inlineStr">
        <is>
          <t>Admission Approval</t>
        </is>
      </c>
      <c r="C59" s="5" t="inlineStr">
        <is>
          <t>Admissions &amp; Enquiries</t>
        </is>
      </c>
      <c r="D59" s="2" t="inlineStr">
        <is>
          <t>Phase 3</t>
        </is>
      </c>
      <c r="E59" s="2" t="inlineStr">
        <is>
          <t>US-0105, US-0106</t>
        </is>
      </c>
      <c r="F59" s="24" t="n"/>
      <c r="G59" s="24" t="n"/>
      <c r="H59" s="32" t="n"/>
      <c r="I59" s="2" t="inlineStr">
        <is>
          <t>Ready</t>
        </is>
      </c>
      <c r="J59" s="33" t="inlineStr">
        <is>
          <t>Done</t>
        </is>
      </c>
      <c r="K59" s="33" t="inlineStr">
        <is>
          <t>Done</t>
        </is>
      </c>
      <c r="L59" s="24" t="inlineStr">
        <is>
          <t>Not assessed</t>
        </is>
      </c>
      <c r="M59" s="24" t="inlineStr">
        <is>
          <t>Not assessed</t>
        </is>
      </c>
      <c r="N59" s="24" t="inlineStr">
        <is>
          <t>Not assessed</t>
        </is>
      </c>
      <c r="O59" s="35" t="n"/>
      <c r="P59" s="24" t="inlineStr">
        <is>
          <t>Not scheduled</t>
        </is>
      </c>
      <c r="Q59" s="24" t="n"/>
      <c r="R59" s="24" t="inlineStr">
        <is>
          <t>Approve and reject in a modal with the evidence on screen</t>
        </is>
      </c>
      <c r="S59" s="24" t="n"/>
      <c r="T59" s="24" t="n"/>
      <c r="U59" s="36" t="n">
        <v>46285</v>
      </c>
      <c r="V59" s="24" t="n"/>
      <c r="W59" s="15">
        <f>IF(P59="Production",IF(X59="Yes","Released","Review release"),IF(P59="Rolled back","Rolled back",IF(OR(Q59&lt;&gt;"",COUNTIFS(J59:N59,"Blocked")&gt;0),"Blocked",IF(OR(M59="Failed",N59="Rejected",AND(ISNUMBER(O59),O59&gt;0)),"Rework",IF(X59="Yes","Ready for release",IF(N59="Accepted","Verify completion",IF(OR(M59="Passed",M59="In progress",N59="In review"),"Testing / review",IF(OR(COUNTIFS(J59:L59,"In progress")&gt;0,COUNTIFS(J59:L59,"In review")&gt;0,COUNTIFS(J59:L59,"Done")&gt;0),"In progress",IF(COUNTIFS(J59:N59,"Not assessed")=5,"Not assessed","Planned")))))))))</f>
        <v/>
      </c>
      <c r="X59" s="15">
        <f>IF(AND(J59="Done",OR(K59="Done",K59="Not required"),OR(L59="Done",L59="Not required"),M59="Passed",N59="Accepted",ISNUMBER(O59),O59=0,Q59="",F59&lt;&gt;"",S59&lt;&gt;"",T59&lt;&gt;"",ISNUMBER(U59),OR(AND(K59&lt;&gt;"Not required",L59&lt;&gt;"Not required"),V59&lt;&gt;""),P59&lt;&gt;"Rolled back"),"Yes","No")</f>
        <v/>
      </c>
      <c r="Y59" s="15">
        <f>IF(X59="Yes","Completed",IF(H59="","No deadline",IF(NOT(ISNUMBER(H59)),"Check date",IF(H59&lt;Overview!$I$3,"Overdue",IF(H59&lt;=Overview!$I$3+7,"Due soon","On track")))))</f>
        <v/>
      </c>
      <c r="Z59" s="37">
        <f>IF(AND(X59&lt;&gt;"Yes",ISNUMBER(H59)),MAX(0,Overview!$I$3-H59),0)</f>
        <v/>
      </c>
      <c r="AA59" s="5" t="inlineStr">
        <is>
          <t>Admission Officer</t>
        </is>
      </c>
      <c r="AB59" t="inlineStr">
        <is>
          <t>/school/admissions/decisions</t>
        </is>
      </c>
    </row>
    <row r="60" ht="35" customHeight="1">
      <c r="A60" s="2" t="inlineStr">
        <is>
          <t>SCR-054</t>
        </is>
      </c>
      <c r="B60" s="5" t="inlineStr">
        <is>
          <t>Admission Confirmation &amp; Student Creation</t>
        </is>
      </c>
      <c r="C60" s="5" t="inlineStr">
        <is>
          <t>Admissions &amp; Enquiries</t>
        </is>
      </c>
      <c r="D60" s="2" t="inlineStr">
        <is>
          <t>Phase 3</t>
        </is>
      </c>
      <c r="E60" s="2" t="inlineStr">
        <is>
          <t>US-0107, US-0108</t>
        </is>
      </c>
      <c r="F60" s="24" t="n"/>
      <c r="G60" s="24" t="n"/>
      <c r="H60" s="32" t="n"/>
      <c r="I60" s="2" t="inlineStr">
        <is>
          <t>Ready</t>
        </is>
      </c>
      <c r="J60" s="33" t="inlineStr">
        <is>
          <t>Done</t>
        </is>
      </c>
      <c r="K60" s="33" t="inlineStr">
        <is>
          <t>Done</t>
        </is>
      </c>
      <c r="L60" s="24" t="inlineStr">
        <is>
          <t>Not assessed</t>
        </is>
      </c>
      <c r="M60" s="24" t="inlineStr">
        <is>
          <t>Not assessed</t>
        </is>
      </c>
      <c r="N60" s="24" t="inlineStr">
        <is>
          <t>Not assessed</t>
        </is>
      </c>
      <c r="O60" s="35" t="n"/>
      <c r="P60" s="24" t="inlineStr">
        <is>
          <t>Not scheduled</t>
        </is>
      </c>
      <c r="Q60" s="24" t="n"/>
      <c r="R60" s="24" t="inlineStr">
        <is>
          <t>Creates student and parent login with password</t>
        </is>
      </c>
      <c r="S60" s="24" t="n"/>
      <c r="T60" s="24" t="n"/>
      <c r="U60" s="36" t="n">
        <v>46285</v>
      </c>
      <c r="V60" s="24" t="n"/>
      <c r="W60" s="15">
        <f>IF(P60="Production",IF(X60="Yes","Released","Review release"),IF(P60="Rolled back","Rolled back",IF(OR(Q60&lt;&gt;"",COUNTIFS(J60:N60,"Blocked")&gt;0),"Blocked",IF(OR(M60="Failed",N60="Rejected",AND(ISNUMBER(O60),O60&gt;0)),"Rework",IF(X60="Yes","Ready for release",IF(N60="Accepted","Verify completion",IF(OR(M60="Passed",M60="In progress",N60="In review"),"Testing / review",IF(OR(COUNTIFS(J60:L60,"In progress")&gt;0,COUNTIFS(J60:L60,"In review")&gt;0,COUNTIFS(J60:L60,"Done")&gt;0),"In progress",IF(COUNTIFS(J60:N60,"Not assessed")=5,"Not assessed","Planned")))))))))</f>
        <v/>
      </c>
      <c r="X60" s="15">
        <f>IF(AND(J60="Done",OR(K60="Done",K60="Not required"),OR(L60="Done",L60="Not required"),M60="Passed",N60="Accepted",ISNUMBER(O60),O60=0,Q60="",F60&lt;&gt;"",S60&lt;&gt;"",T60&lt;&gt;"",ISNUMBER(U60),OR(AND(K60&lt;&gt;"Not required",L60&lt;&gt;"Not required"),V60&lt;&gt;""),P60&lt;&gt;"Rolled back"),"Yes","No")</f>
        <v/>
      </c>
      <c r="Y60" s="15">
        <f>IF(X60="Yes","Completed",IF(H60="","No deadline",IF(NOT(ISNUMBER(H60)),"Check date",IF(H60&lt;Overview!$I$3,"Overdue",IF(H60&lt;=Overview!$I$3+7,"Due soon","On track")))))</f>
        <v/>
      </c>
      <c r="Z60" s="37">
        <f>IF(AND(X60&lt;&gt;"Yes",ISNUMBER(H60)),MAX(0,Overview!$I$3-H60),0)</f>
        <v/>
      </c>
      <c r="AA60" s="5" t="inlineStr">
        <is>
          <t>Admission Officer</t>
        </is>
      </c>
      <c r="AB60" t="inlineStr">
        <is>
          <t>/school/admissions/applications</t>
        </is>
      </c>
    </row>
    <row r="61" ht="35" customHeight="1">
      <c r="A61" s="2" t="inlineStr">
        <is>
          <t>SCR-055</t>
        </is>
      </c>
      <c r="B61" s="5" t="inlineStr">
        <is>
          <t>Student Directory</t>
        </is>
      </c>
      <c r="C61" s="5" t="inlineStr">
        <is>
          <t>Students</t>
        </is>
      </c>
      <c r="D61" s="2" t="inlineStr">
        <is>
          <t>MVP</t>
        </is>
      </c>
      <c r="E61" s="2" t="inlineStr">
        <is>
          <t>US-0109, US-0110</t>
        </is>
      </c>
      <c r="F61" s="24" t="n"/>
      <c r="G61" s="24" t="n"/>
      <c r="H61" s="32" t="n"/>
      <c r="I61" s="2" t="inlineStr">
        <is>
          <t>Ready</t>
        </is>
      </c>
      <c r="J61" s="33" t="inlineStr">
        <is>
          <t>Done</t>
        </is>
      </c>
      <c r="K61" s="33" t="inlineStr">
        <is>
          <t>Done</t>
        </is>
      </c>
      <c r="L61" s="24" t="inlineStr">
        <is>
          <t>Not assessed</t>
        </is>
      </c>
      <c r="M61" s="24" t="inlineStr">
        <is>
          <t>Not assessed</t>
        </is>
      </c>
      <c r="N61" s="24" t="inlineStr">
        <is>
          <t>Not assessed</t>
        </is>
      </c>
      <c r="O61" s="35" t="n"/>
      <c r="P61" s="24" t="inlineStr">
        <is>
          <t>Not scheduled</t>
        </is>
      </c>
      <c r="Q61" s="24" t="n"/>
      <c r="R61" s="24" t="inlineStr">
        <is>
          <t>Year, class, section, status filters and search</t>
        </is>
      </c>
      <c r="S61" s="24" t="n"/>
      <c r="T61" s="24" t="n"/>
      <c r="U61" s="36" t="n">
        <v>46285</v>
      </c>
      <c r="V61" s="24" t="n"/>
      <c r="W61" s="15">
        <f>IF(P61="Production",IF(X61="Yes","Released","Review release"),IF(P61="Rolled back","Rolled back",IF(OR(Q61&lt;&gt;"",COUNTIFS(J61:N61,"Blocked")&gt;0),"Blocked",IF(OR(M61="Failed",N61="Rejected",AND(ISNUMBER(O61),O61&gt;0)),"Rework",IF(X61="Yes","Ready for release",IF(N61="Accepted","Verify completion",IF(OR(M61="Passed",M61="In progress",N61="In review"),"Testing / review",IF(OR(COUNTIFS(J61:L61,"In progress")&gt;0,COUNTIFS(J61:L61,"In review")&gt;0,COUNTIFS(J61:L61,"Done")&gt;0),"In progress",IF(COUNTIFS(J61:N61,"Not assessed")=5,"Not assessed","Planned")))))))))</f>
        <v/>
      </c>
      <c r="X61" s="15">
        <f>IF(AND(J61="Done",OR(K61="Done",K61="Not required"),OR(L61="Done",L61="Not required"),M61="Passed",N61="Accepted",ISNUMBER(O61),O61=0,Q61="",F61&lt;&gt;"",S61&lt;&gt;"",T61&lt;&gt;"",ISNUMBER(U61),OR(AND(K61&lt;&gt;"Not required",L61&lt;&gt;"Not required"),V61&lt;&gt;""),P61&lt;&gt;"Rolled back"),"Yes","No")</f>
        <v/>
      </c>
      <c r="Y61" s="15">
        <f>IF(X61="Yes","Completed",IF(H61="","No deadline",IF(NOT(ISNUMBER(H61)),"Check date",IF(H61&lt;Overview!$I$3,"Overdue",IF(H61&lt;=Overview!$I$3+7,"Due soon","On track")))))</f>
        <v/>
      </c>
      <c r="Z61" s="37">
        <f>IF(AND(X61&lt;&gt;"Yes",ISNUMBER(H61)),MAX(0,Overview!$I$3-H61),0)</f>
        <v/>
      </c>
      <c r="AA61" s="5" t="inlineStr">
        <is>
          <t>School Admin</t>
        </is>
      </c>
      <c r="AB61" t="inlineStr">
        <is>
          <t>/school/students</t>
        </is>
      </c>
    </row>
    <row r="62" ht="35" customHeight="1">
      <c r="A62" s="2" t="inlineStr">
        <is>
          <t>SCR-056</t>
        </is>
      </c>
      <c r="B62" s="5" t="inlineStr">
        <is>
          <t>Add Student</t>
        </is>
      </c>
      <c r="C62" s="5" t="inlineStr">
        <is>
          <t>Students</t>
        </is>
      </c>
      <c r="D62" s="2" t="inlineStr">
        <is>
          <t>MVP</t>
        </is>
      </c>
      <c r="E62" s="2" t="inlineStr">
        <is>
          <t>US-0111, US-0112</t>
        </is>
      </c>
      <c r="F62" s="24" t="n"/>
      <c r="G62" s="24" t="n"/>
      <c r="H62" s="32" t="n"/>
      <c r="I62" s="2" t="inlineStr">
        <is>
          <t>Ready</t>
        </is>
      </c>
      <c r="J62" s="33" t="inlineStr">
        <is>
          <t>Done</t>
        </is>
      </c>
      <c r="K62" s="33" t="inlineStr">
        <is>
          <t>Done</t>
        </is>
      </c>
      <c r="L62" s="24" t="inlineStr">
        <is>
          <t>Not assessed</t>
        </is>
      </c>
      <c r="M62" s="24" t="inlineStr">
        <is>
          <t>Not assessed</t>
        </is>
      </c>
      <c r="N62" s="24" t="inlineStr">
        <is>
          <t>Not assessed</t>
        </is>
      </c>
      <c r="O62" s="35" t="n"/>
      <c r="P62" s="24" t="inlineStr">
        <is>
          <t>Not scheduled</t>
        </is>
      </c>
      <c r="Q62" s="24" t="n"/>
      <c r="R62" s="24" t="inlineStr">
        <is>
          <t>Admit modal plus bulk CSV import</t>
        </is>
      </c>
      <c r="S62" s="24" t="n"/>
      <c r="T62" s="24" t="n"/>
      <c r="U62" s="36" t="n">
        <v>46285</v>
      </c>
      <c r="V62" s="24" t="n"/>
      <c r="W62" s="15">
        <f>IF(P62="Production",IF(X62="Yes","Released","Review release"),IF(P62="Rolled back","Rolled back",IF(OR(Q62&lt;&gt;"",COUNTIFS(J62:N62,"Blocked")&gt;0),"Blocked",IF(OR(M62="Failed",N62="Rejected",AND(ISNUMBER(O62),O62&gt;0)),"Rework",IF(X62="Yes","Ready for release",IF(N62="Accepted","Verify completion",IF(OR(M62="Passed",M62="In progress",N62="In review"),"Testing / review",IF(OR(COUNTIFS(J62:L62,"In progress")&gt;0,COUNTIFS(J62:L62,"In review")&gt;0,COUNTIFS(J62:L62,"Done")&gt;0),"In progress",IF(COUNTIFS(J62:N62,"Not assessed")=5,"Not assessed","Planned")))))))))</f>
        <v/>
      </c>
      <c r="X62" s="15">
        <f>IF(AND(J62="Done",OR(K62="Done",K62="Not required"),OR(L62="Done",L62="Not required"),M62="Passed",N62="Accepted",ISNUMBER(O62),O62=0,Q62="",F62&lt;&gt;"",S62&lt;&gt;"",T62&lt;&gt;"",ISNUMBER(U62),OR(AND(K62&lt;&gt;"Not required",L62&lt;&gt;"Not required"),V62&lt;&gt;""),P62&lt;&gt;"Rolled back"),"Yes","No")</f>
        <v/>
      </c>
      <c r="Y62" s="15">
        <f>IF(X62="Yes","Completed",IF(H62="","No deadline",IF(NOT(ISNUMBER(H62)),"Check date",IF(H62&lt;Overview!$I$3,"Overdue",IF(H62&lt;=Overview!$I$3+7,"Due soon","On track")))))</f>
        <v/>
      </c>
      <c r="Z62" s="37">
        <f>IF(AND(X62&lt;&gt;"Yes",ISNUMBER(H62)),MAX(0,Overview!$I$3-H62),0)</f>
        <v/>
      </c>
      <c r="AA62" s="5" t="inlineStr">
        <is>
          <t>School Admin</t>
        </is>
      </c>
      <c r="AB62" t="inlineStr">
        <is>
          <t>/school/students</t>
        </is>
      </c>
    </row>
    <row r="63" ht="35" customHeight="1">
      <c r="A63" s="2" t="inlineStr">
        <is>
          <t>SCR-057</t>
        </is>
      </c>
      <c r="B63" s="5" t="inlineStr">
        <is>
          <t>Student Profile Overview</t>
        </is>
      </c>
      <c r="C63" s="5" t="inlineStr">
        <is>
          <t>Students</t>
        </is>
      </c>
      <c r="D63" s="2" t="inlineStr">
        <is>
          <t>MVP</t>
        </is>
      </c>
      <c r="E63" s="2" t="inlineStr">
        <is>
          <t>US-0113, US-0114</t>
        </is>
      </c>
      <c r="F63" s="24" t="n"/>
      <c r="G63" s="24" t="n"/>
      <c r="H63" s="32" t="n"/>
      <c r="I63" s="2" t="inlineStr">
        <is>
          <t>Ready</t>
        </is>
      </c>
      <c r="J63" s="33" t="inlineStr">
        <is>
          <t>Done</t>
        </is>
      </c>
      <c r="K63" s="33" t="inlineStr">
        <is>
          <t>Done</t>
        </is>
      </c>
      <c r="L63" s="24" t="inlineStr">
        <is>
          <t>Not assessed</t>
        </is>
      </c>
      <c r="M63" s="24" t="inlineStr">
        <is>
          <t>Not assessed</t>
        </is>
      </c>
      <c r="N63" s="24" t="inlineStr">
        <is>
          <t>Not assessed</t>
        </is>
      </c>
      <c r="O63" s="35" t="n"/>
      <c r="P63" s="24" t="inlineStr">
        <is>
          <t>Not scheduled</t>
        </is>
      </c>
      <c r="Q63" s="24" t="n"/>
      <c r="R63" s="24" t="inlineStr">
        <is>
          <t>Stats, attendance, exams, behaviour, homework</t>
        </is>
      </c>
      <c r="S63" s="24" t="n"/>
      <c r="T63" s="24" t="n"/>
      <c r="U63" s="36" t="n">
        <v>46285</v>
      </c>
      <c r="V63" s="24" t="n"/>
      <c r="W63" s="15">
        <f>IF(P63="Production",IF(X63="Yes","Released","Review release"),IF(P63="Rolled back","Rolled back",IF(OR(Q63&lt;&gt;"",COUNTIFS(J63:N63,"Blocked")&gt;0),"Blocked",IF(OR(M63="Failed",N63="Rejected",AND(ISNUMBER(O63),O63&gt;0)),"Rework",IF(X63="Yes","Ready for release",IF(N63="Accepted","Verify completion",IF(OR(M63="Passed",M63="In progress",N63="In review"),"Testing / review",IF(OR(COUNTIFS(J63:L63,"In progress")&gt;0,COUNTIFS(J63:L63,"In review")&gt;0,COUNTIFS(J63:L63,"Done")&gt;0),"In progress",IF(COUNTIFS(J63:N63,"Not assessed")=5,"Not assessed","Planned")))))))))</f>
        <v/>
      </c>
      <c r="X63" s="15">
        <f>IF(AND(J63="Done",OR(K63="Done",K63="Not required"),OR(L63="Done",L63="Not required"),M63="Passed",N63="Accepted",ISNUMBER(O63),O63=0,Q63="",F63&lt;&gt;"",S63&lt;&gt;"",T63&lt;&gt;"",ISNUMBER(U63),OR(AND(K63&lt;&gt;"Not required",L63&lt;&gt;"Not required"),V63&lt;&gt;""),P63&lt;&gt;"Rolled back"),"Yes","No")</f>
        <v/>
      </c>
      <c r="Y63" s="15">
        <f>IF(X63="Yes","Completed",IF(H63="","No deadline",IF(NOT(ISNUMBER(H63)),"Check date",IF(H63&lt;Overview!$I$3,"Overdue",IF(H63&lt;=Overview!$I$3+7,"Due soon","On track")))))</f>
        <v/>
      </c>
      <c r="Z63" s="37">
        <f>IF(AND(X63&lt;&gt;"Yes",ISNUMBER(H63)),MAX(0,Overview!$I$3-H63),0)</f>
        <v/>
      </c>
      <c r="AA63" s="5" t="inlineStr">
        <is>
          <t>School Admin</t>
        </is>
      </c>
      <c r="AB63" t="inlineStr">
        <is>
          <t>/school/students/[id]</t>
        </is>
      </c>
    </row>
    <row r="64" ht="35" customHeight="1">
      <c r="A64" s="2" t="inlineStr">
        <is>
          <t>SCR-058</t>
        </is>
      </c>
      <c r="B64" s="5" t="inlineStr">
        <is>
          <t>Edit Student</t>
        </is>
      </c>
      <c r="C64" s="5" t="inlineStr">
        <is>
          <t>Students</t>
        </is>
      </c>
      <c r="D64" s="2" t="inlineStr">
        <is>
          <t>MVP</t>
        </is>
      </c>
      <c r="E64" s="2" t="inlineStr">
        <is>
          <t>US-0115, US-0116</t>
        </is>
      </c>
      <c r="F64" s="24" t="n"/>
      <c r="G64" s="24" t="n"/>
      <c r="H64" s="32" t="n"/>
      <c r="I64" s="2" t="inlineStr">
        <is>
          <t>Ready</t>
        </is>
      </c>
      <c r="J64" s="33" t="inlineStr">
        <is>
          <t>Done</t>
        </is>
      </c>
      <c r="K64" s="33" t="inlineStr">
        <is>
          <t>Done</t>
        </is>
      </c>
      <c r="L64" s="24" t="inlineStr">
        <is>
          <t>Not assessed</t>
        </is>
      </c>
      <c r="M64" s="24" t="inlineStr">
        <is>
          <t>Not assessed</t>
        </is>
      </c>
      <c r="N64" s="24" t="inlineStr">
        <is>
          <t>Not assessed</t>
        </is>
      </c>
      <c r="O64" s="35" t="n"/>
      <c r="P64" s="24" t="inlineStr">
        <is>
          <t>Not scheduled</t>
        </is>
      </c>
      <c r="Q64" s="24" t="n"/>
      <c r="R64" s="24" t="inlineStr">
        <is>
          <t>Edit name, section, roll, DOB, blood, address</t>
        </is>
      </c>
      <c r="S64" s="24" t="n"/>
      <c r="T64" s="24" t="n"/>
      <c r="U64" s="36" t="n">
        <v>46285</v>
      </c>
      <c r="V64" s="24" t="n"/>
      <c r="W64" s="15">
        <f>IF(P64="Production",IF(X64="Yes","Released","Review release"),IF(P64="Rolled back","Rolled back",IF(OR(Q64&lt;&gt;"",COUNTIFS(J64:N64,"Blocked")&gt;0),"Blocked",IF(OR(M64="Failed",N64="Rejected",AND(ISNUMBER(O64),O64&gt;0)),"Rework",IF(X64="Yes","Ready for release",IF(N64="Accepted","Verify completion",IF(OR(M64="Passed",M64="In progress",N64="In review"),"Testing / review",IF(OR(COUNTIFS(J64:L64,"In progress")&gt;0,COUNTIFS(J64:L64,"In review")&gt;0,COUNTIFS(J64:L64,"Done")&gt;0),"In progress",IF(COUNTIFS(J64:N64,"Not assessed")=5,"Not assessed","Planned")))))))))</f>
        <v/>
      </c>
      <c r="X64" s="15">
        <f>IF(AND(J64="Done",OR(K64="Done",K64="Not required"),OR(L64="Done",L64="Not required"),M64="Passed",N64="Accepted",ISNUMBER(O64),O64=0,Q64="",F64&lt;&gt;"",S64&lt;&gt;"",T64&lt;&gt;"",ISNUMBER(U64),OR(AND(K64&lt;&gt;"Not required",L64&lt;&gt;"Not required"),V64&lt;&gt;""),P64&lt;&gt;"Rolled back"),"Yes","No")</f>
        <v/>
      </c>
      <c r="Y64" s="15">
        <f>IF(X64="Yes","Completed",IF(H64="","No deadline",IF(NOT(ISNUMBER(H64)),"Check date",IF(H64&lt;Overview!$I$3,"Overdue",IF(H64&lt;=Overview!$I$3+7,"Due soon","On track")))))</f>
        <v/>
      </c>
      <c r="Z64" s="37">
        <f>IF(AND(X64&lt;&gt;"Yes",ISNUMBER(H64)),MAX(0,Overview!$I$3-H64),0)</f>
        <v/>
      </c>
      <c r="AA64" s="5" t="inlineStr">
        <is>
          <t>School Admin</t>
        </is>
      </c>
      <c r="AB64" t="inlineStr">
        <is>
          <t>/school/students</t>
        </is>
      </c>
    </row>
    <row r="65" ht="35" customHeight="1">
      <c r="A65" s="2" t="inlineStr">
        <is>
          <t>SCR-059</t>
        </is>
      </c>
      <c r="B65" s="5" t="inlineStr">
        <is>
          <t>Student Academic Details</t>
        </is>
      </c>
      <c r="C65" s="5" t="inlineStr">
        <is>
          <t>Students</t>
        </is>
      </c>
      <c r="D65" s="2" t="inlineStr">
        <is>
          <t>MVP</t>
        </is>
      </c>
      <c r="E65" s="2" t="inlineStr">
        <is>
          <t>US-0117, US-0118</t>
        </is>
      </c>
      <c r="F65" s="24" t="n"/>
      <c r="G65" s="24" t="n"/>
      <c r="H65" s="32" t="n"/>
      <c r="I65" s="2" t="inlineStr">
        <is>
          <t>Ready</t>
        </is>
      </c>
      <c r="J65" s="33" t="inlineStr">
        <is>
          <t>Done</t>
        </is>
      </c>
      <c r="K65" s="33" t="inlineStr">
        <is>
          <t>Done</t>
        </is>
      </c>
      <c r="L65" s="24" t="inlineStr">
        <is>
          <t>Not assessed</t>
        </is>
      </c>
      <c r="M65" s="24" t="inlineStr">
        <is>
          <t>Not assessed</t>
        </is>
      </c>
      <c r="N65" s="24" t="inlineStr">
        <is>
          <t>Not assessed</t>
        </is>
      </c>
      <c r="O65" s="35" t="n"/>
      <c r="P65" s="24" t="inlineStr">
        <is>
          <t>Not scheduled</t>
        </is>
      </c>
      <c r="Q65" s="24" t="n"/>
      <c r="R65" s="24" t="inlineStr">
        <is>
          <t>Subjects with teachers, and the years behind</t>
        </is>
      </c>
      <c r="S65" s="24" t="n"/>
      <c r="T65" s="24" t="n"/>
      <c r="U65" s="36" t="n">
        <v>46285</v>
      </c>
      <c r="V65" s="24" t="n"/>
      <c r="W65" s="15">
        <f>IF(P65="Production",IF(X65="Yes","Released","Review release"),IF(P65="Rolled back","Rolled back",IF(OR(Q65&lt;&gt;"",COUNTIFS(J65:N65,"Blocked")&gt;0),"Blocked",IF(OR(M65="Failed",N65="Rejected",AND(ISNUMBER(O65),O65&gt;0)),"Rework",IF(X65="Yes","Ready for release",IF(N65="Accepted","Verify completion",IF(OR(M65="Passed",M65="In progress",N65="In review"),"Testing / review",IF(OR(COUNTIFS(J65:L65,"In progress")&gt;0,COUNTIFS(J65:L65,"In review")&gt;0,COUNTIFS(J65:L65,"Done")&gt;0),"In progress",IF(COUNTIFS(J65:N65,"Not assessed")=5,"Not assessed","Planned")))))))))</f>
        <v/>
      </c>
      <c r="X65" s="15">
        <f>IF(AND(J65="Done",OR(K65="Done",K65="Not required"),OR(L65="Done",L65="Not required"),M65="Passed",N65="Accepted",ISNUMBER(O65),O65=0,Q65="",F65&lt;&gt;"",S65&lt;&gt;"",T65&lt;&gt;"",ISNUMBER(U65),OR(AND(K65&lt;&gt;"Not required",L65&lt;&gt;"Not required"),V65&lt;&gt;""),P65&lt;&gt;"Rolled back"),"Yes","No")</f>
        <v/>
      </c>
      <c r="Y65" s="15">
        <f>IF(X65="Yes","Completed",IF(H65="","No deadline",IF(NOT(ISNUMBER(H65)),"Check date",IF(H65&lt;Overview!$I$3,"Overdue",IF(H65&lt;=Overview!$I$3+7,"Due soon","On track")))))</f>
        <v/>
      </c>
      <c r="Z65" s="37">
        <f>IF(AND(X65&lt;&gt;"Yes",ISNUMBER(H65)),MAX(0,Overview!$I$3-H65),0)</f>
        <v/>
      </c>
      <c r="AA65" s="5" t="inlineStr">
        <is>
          <t>School Admin</t>
        </is>
      </c>
      <c r="AB65" t="inlineStr">
        <is>
          <t>/school/students/[id]/academic</t>
        </is>
      </c>
    </row>
    <row r="66" ht="35" customHeight="1">
      <c r="A66" s="2" t="inlineStr">
        <is>
          <t>SCR-060</t>
        </is>
      </c>
      <c r="B66" s="5" t="inlineStr">
        <is>
          <t>Student Attendance History</t>
        </is>
      </c>
      <c r="C66" s="5" t="inlineStr">
        <is>
          <t>Students</t>
        </is>
      </c>
      <c r="D66" s="2" t="inlineStr">
        <is>
          <t>MVP</t>
        </is>
      </c>
      <c r="E66" s="2" t="inlineStr">
        <is>
          <t>US-0119, US-0120</t>
        </is>
      </c>
      <c r="F66" s="24" t="n"/>
      <c r="G66" s="24" t="n"/>
      <c r="H66" s="32" t="n"/>
      <c r="I66" s="2" t="inlineStr">
        <is>
          <t>Ready</t>
        </is>
      </c>
      <c r="J66" s="33" t="inlineStr">
        <is>
          <t>Done</t>
        </is>
      </c>
      <c r="K66" s="33" t="inlineStr">
        <is>
          <t>Done</t>
        </is>
      </c>
      <c r="L66" s="24" t="inlineStr">
        <is>
          <t>Not assessed</t>
        </is>
      </c>
      <c r="M66" s="24" t="inlineStr">
        <is>
          <t>Not assessed</t>
        </is>
      </c>
      <c r="N66" s="24" t="inlineStr">
        <is>
          <t>Not assessed</t>
        </is>
      </c>
      <c r="O66" s="35" t="n"/>
      <c r="P66" s="24" t="inlineStr">
        <is>
          <t>Not scheduled</t>
        </is>
      </c>
      <c r="Q66" s="24" t="n"/>
      <c r="R66" s="24" t="inlineStr">
        <is>
          <t>Attendance tab: months, percent and days away</t>
        </is>
      </c>
      <c r="S66" s="24" t="n"/>
      <c r="T66" s="24" t="n"/>
      <c r="U66" s="36" t="n">
        <v>46285</v>
      </c>
      <c r="V66" s="24" t="n"/>
      <c r="W66" s="15">
        <f>IF(P66="Production",IF(X66="Yes","Released","Review release"),IF(P66="Rolled back","Rolled back",IF(OR(Q66&lt;&gt;"",COUNTIFS(J66:N66,"Blocked")&gt;0),"Blocked",IF(OR(M66="Failed",N66="Rejected",AND(ISNUMBER(O66),O66&gt;0)),"Rework",IF(X66="Yes","Ready for release",IF(N66="Accepted","Verify completion",IF(OR(M66="Passed",M66="In progress",N66="In review"),"Testing / review",IF(OR(COUNTIFS(J66:L66,"In progress")&gt;0,COUNTIFS(J66:L66,"In review")&gt;0,COUNTIFS(J66:L66,"Done")&gt;0),"In progress",IF(COUNTIFS(J66:N66,"Not assessed")=5,"Not assessed","Planned")))))))))</f>
        <v/>
      </c>
      <c r="X66" s="15">
        <f>IF(AND(J66="Done",OR(K66="Done",K66="Not required"),OR(L66="Done",L66="Not required"),M66="Passed",N66="Accepted",ISNUMBER(O66),O66=0,Q66="",F66&lt;&gt;"",S66&lt;&gt;"",T66&lt;&gt;"",ISNUMBER(U66),OR(AND(K66&lt;&gt;"Not required",L66&lt;&gt;"Not required"),V66&lt;&gt;""),P66&lt;&gt;"Rolled back"),"Yes","No")</f>
        <v/>
      </c>
      <c r="Y66" s="15">
        <f>IF(X66="Yes","Completed",IF(H66="","No deadline",IF(NOT(ISNUMBER(H66)),"Check date",IF(H66&lt;Overview!$I$3,"Overdue",IF(H66&lt;=Overview!$I$3+7,"Due soon","On track")))))</f>
        <v/>
      </c>
      <c r="Z66" s="37">
        <f>IF(AND(X66&lt;&gt;"Yes",ISNUMBER(H66)),MAX(0,Overview!$I$3-H66),0)</f>
        <v/>
      </c>
      <c r="AA66" s="5" t="inlineStr">
        <is>
          <t>School Admin</t>
        </is>
      </c>
      <c r="AB66" t="inlineStr">
        <is>
          <t>/school/students/[id]</t>
        </is>
      </c>
    </row>
    <row r="67" ht="35" customHeight="1">
      <c r="A67" s="2" t="inlineStr">
        <is>
          <t>SCR-061</t>
        </is>
      </c>
      <c r="B67" s="5" t="inlineStr">
        <is>
          <t>Student Examination &amp; Results</t>
        </is>
      </c>
      <c r="C67" s="5" t="inlineStr">
        <is>
          <t>Students</t>
        </is>
      </c>
      <c r="D67" s="2" t="inlineStr">
        <is>
          <t>MVP</t>
        </is>
      </c>
      <c r="E67" s="2" t="inlineStr">
        <is>
          <t>US-0121, US-0122</t>
        </is>
      </c>
      <c r="F67" s="24" t="n"/>
      <c r="G67" s="24" t="n"/>
      <c r="H67" s="32" t="n"/>
      <c r="I67" s="2" t="inlineStr">
        <is>
          <t>Ready</t>
        </is>
      </c>
      <c r="J67" s="33" t="inlineStr">
        <is>
          <t>Done</t>
        </is>
      </c>
      <c r="K67" s="33" t="inlineStr">
        <is>
          <t>Done</t>
        </is>
      </c>
      <c r="L67" s="24" t="inlineStr">
        <is>
          <t>Not assessed</t>
        </is>
      </c>
      <c r="M67" s="24" t="inlineStr">
        <is>
          <t>Not assessed</t>
        </is>
      </c>
      <c r="N67" s="24" t="inlineStr">
        <is>
          <t>Not assessed</t>
        </is>
      </c>
      <c r="O67" s="35" t="n"/>
      <c r="P67" s="24" t="inlineStr">
        <is>
          <t>Not scheduled</t>
        </is>
      </c>
      <c r="Q67" s="24" t="n"/>
      <c r="R67" s="24" t="inlineStr">
        <is>
          <t>Per paper, with unmarked kept apart from nought</t>
        </is>
      </c>
      <c r="S67" s="24" t="n"/>
      <c r="T67" s="24" t="n"/>
      <c r="U67" s="36" t="n">
        <v>46285</v>
      </c>
      <c r="V67" s="24" t="n"/>
      <c r="W67" s="15">
        <f>IF(P67="Production",IF(X67="Yes","Released","Review release"),IF(P67="Rolled back","Rolled back",IF(OR(Q67&lt;&gt;"",COUNTIFS(J67:N67,"Blocked")&gt;0),"Blocked",IF(OR(M67="Failed",N67="Rejected",AND(ISNUMBER(O67),O67&gt;0)),"Rework",IF(X67="Yes","Ready for release",IF(N67="Accepted","Verify completion",IF(OR(M67="Passed",M67="In progress",N67="In review"),"Testing / review",IF(OR(COUNTIFS(J67:L67,"In progress")&gt;0,COUNTIFS(J67:L67,"In review")&gt;0,COUNTIFS(J67:L67,"Done")&gt;0),"In progress",IF(COUNTIFS(J67:N67,"Not assessed")=5,"Not assessed","Planned")))))))))</f>
        <v/>
      </c>
      <c r="X67" s="15">
        <f>IF(AND(J67="Done",OR(K67="Done",K67="Not required"),OR(L67="Done",L67="Not required"),M67="Passed",N67="Accepted",ISNUMBER(O67),O67=0,Q67="",F67&lt;&gt;"",S67&lt;&gt;"",T67&lt;&gt;"",ISNUMBER(U67),OR(AND(K67&lt;&gt;"Not required",L67&lt;&gt;"Not required"),V67&lt;&gt;""),P67&lt;&gt;"Rolled back"),"Yes","No")</f>
        <v/>
      </c>
      <c r="Y67" s="15">
        <f>IF(X67="Yes","Completed",IF(H67="","No deadline",IF(NOT(ISNUMBER(H67)),"Check date",IF(H67&lt;Overview!$I$3,"Overdue",IF(H67&lt;=Overview!$I$3+7,"Due soon","On track")))))</f>
        <v/>
      </c>
      <c r="Z67" s="37">
        <f>IF(AND(X67&lt;&gt;"Yes",ISNUMBER(H67)),MAX(0,Overview!$I$3-H67),0)</f>
        <v/>
      </c>
      <c r="AA67" s="5" t="inlineStr">
        <is>
          <t>School Admin</t>
        </is>
      </c>
      <c r="AB67" t="inlineStr">
        <is>
          <t>/school/students/[id]/exams</t>
        </is>
      </c>
    </row>
    <row r="68" ht="35" customHeight="1">
      <c r="A68" s="2" t="inlineStr">
        <is>
          <t>SCR-062</t>
        </is>
      </c>
      <c r="B68" s="5" t="inlineStr">
        <is>
          <t>Student Fees &amp; Ledger</t>
        </is>
      </c>
      <c r="C68" s="5" t="inlineStr">
        <is>
          <t>Students</t>
        </is>
      </c>
      <c r="D68" s="2" t="inlineStr">
        <is>
          <t>MVP</t>
        </is>
      </c>
      <c r="E68" s="2" t="inlineStr">
        <is>
          <t>US-0123, US-0124</t>
        </is>
      </c>
      <c r="F68" s="24" t="n"/>
      <c r="G68" s="24" t="n"/>
      <c r="H68" s="32" t="n"/>
      <c r="I68" s="2" t="inlineStr">
        <is>
          <t>Ready</t>
        </is>
      </c>
      <c r="J68" s="33" t="inlineStr">
        <is>
          <t>Done</t>
        </is>
      </c>
      <c r="K68" s="33" t="inlineStr">
        <is>
          <t>Done</t>
        </is>
      </c>
      <c r="L68" s="24" t="inlineStr">
        <is>
          <t>Not assessed</t>
        </is>
      </c>
      <c r="M68" s="24" t="inlineStr">
        <is>
          <t>Not assessed</t>
        </is>
      </c>
      <c r="N68" s="24" t="inlineStr">
        <is>
          <t>Not assessed</t>
        </is>
      </c>
      <c r="O68" s="35" t="n"/>
      <c r="P68" s="24" t="inlineStr">
        <is>
          <t>Not scheduled</t>
        </is>
      </c>
      <c r="Q68" s="24" t="n"/>
      <c r="R68" s="24" t="inlineStr">
        <is>
          <t>Fees tab scoped to the child</t>
        </is>
      </c>
      <c r="S68" s="24" t="n"/>
      <c r="T68" s="24" t="n"/>
      <c r="U68" s="36" t="n">
        <v>46285</v>
      </c>
      <c r="V68" s="24" t="n"/>
      <c r="W68" s="15">
        <f>IF(P68="Production",IF(X68="Yes","Released","Review release"),IF(P68="Rolled back","Rolled back",IF(OR(Q68&lt;&gt;"",COUNTIFS(J68:N68,"Blocked")&gt;0),"Blocked",IF(OR(M68="Failed",N68="Rejected",AND(ISNUMBER(O68),O68&gt;0)),"Rework",IF(X68="Yes","Ready for release",IF(N68="Accepted","Verify completion",IF(OR(M68="Passed",M68="In progress",N68="In review"),"Testing / review",IF(OR(COUNTIFS(J68:L68,"In progress")&gt;0,COUNTIFS(J68:L68,"In review")&gt;0,COUNTIFS(J68:L68,"Done")&gt;0),"In progress",IF(COUNTIFS(J68:N68,"Not assessed")=5,"Not assessed","Planned")))))))))</f>
        <v/>
      </c>
      <c r="X68" s="15">
        <f>IF(AND(J68="Done",OR(K68="Done",K68="Not required"),OR(L68="Done",L68="Not required"),M68="Passed",N68="Accepted",ISNUMBER(O68),O68=0,Q68="",F68&lt;&gt;"",S68&lt;&gt;"",T68&lt;&gt;"",ISNUMBER(U68),OR(AND(K68&lt;&gt;"Not required",L68&lt;&gt;"Not required"),V68&lt;&gt;""),P68&lt;&gt;"Rolled back"),"Yes","No")</f>
        <v/>
      </c>
      <c r="Y68" s="15">
        <f>IF(X68="Yes","Completed",IF(H68="","No deadline",IF(NOT(ISNUMBER(H68)),"Check date",IF(H68&lt;Overview!$I$3,"Overdue",IF(H68&lt;=Overview!$I$3+7,"Due soon","On track")))))</f>
        <v/>
      </c>
      <c r="Z68" s="37">
        <f>IF(AND(X68&lt;&gt;"Yes",ISNUMBER(H68)),MAX(0,Overview!$I$3-H68),0)</f>
        <v/>
      </c>
      <c r="AA68" s="5" t="inlineStr">
        <is>
          <t>School Admin</t>
        </is>
      </c>
      <c r="AB68" t="inlineStr">
        <is>
          <t>/school/students/[id]</t>
        </is>
      </c>
    </row>
    <row r="69" ht="35" customHeight="1">
      <c r="A69" s="2" t="inlineStr">
        <is>
          <t>SCR-063</t>
        </is>
      </c>
      <c r="B69" s="5" t="inlineStr">
        <is>
          <t>Student Documents</t>
        </is>
      </c>
      <c r="C69" s="5" t="inlineStr">
        <is>
          <t>Students</t>
        </is>
      </c>
      <c r="D69" s="2" t="inlineStr">
        <is>
          <t>Phase 2</t>
        </is>
      </c>
      <c r="E69" s="2" t="inlineStr">
        <is>
          <t>US-0125, US-0126</t>
        </is>
      </c>
      <c r="F69" s="24" t="n"/>
      <c r="G69" s="24" t="n"/>
      <c r="H69" s="32" t="n"/>
      <c r="I69" s="2" t="inlineStr">
        <is>
          <t>Ready</t>
        </is>
      </c>
      <c r="J69" s="33" t="inlineStr">
        <is>
          <t>Done</t>
        </is>
      </c>
      <c r="K69" s="33" t="inlineStr">
        <is>
          <t>Done</t>
        </is>
      </c>
      <c r="L69" s="24" t="inlineStr">
        <is>
          <t>Not assessed</t>
        </is>
      </c>
      <c r="M69" s="24" t="inlineStr">
        <is>
          <t>Not assessed</t>
        </is>
      </c>
      <c r="N69" s="24" t="inlineStr">
        <is>
          <t>Not assessed</t>
        </is>
      </c>
      <c r="O69" s="35" t="n"/>
      <c r="P69" s="24" t="inlineStr">
        <is>
          <t>Not scheduled</t>
        </is>
      </c>
      <c r="Q69" s="24" t="n"/>
      <c r="R69" s="24" t="inlineStr">
        <is>
          <t>Documents tab with download</t>
        </is>
      </c>
      <c r="S69" s="24" t="n"/>
      <c r="T69" s="24" t="n"/>
      <c r="U69" s="36" t="n">
        <v>46285</v>
      </c>
      <c r="V69" s="24" t="n"/>
      <c r="W69" s="15">
        <f>IF(P69="Production",IF(X69="Yes","Released","Review release"),IF(P69="Rolled back","Rolled back",IF(OR(Q69&lt;&gt;"",COUNTIFS(J69:N69,"Blocked")&gt;0),"Blocked",IF(OR(M69="Failed",N69="Rejected",AND(ISNUMBER(O69),O69&gt;0)),"Rework",IF(X69="Yes","Ready for release",IF(N69="Accepted","Verify completion",IF(OR(M69="Passed",M69="In progress",N69="In review"),"Testing / review",IF(OR(COUNTIFS(J69:L69,"In progress")&gt;0,COUNTIFS(J69:L69,"In review")&gt;0,COUNTIFS(J69:L69,"Done")&gt;0),"In progress",IF(COUNTIFS(J69:N69,"Not assessed")=5,"Not assessed","Planned")))))))))</f>
        <v/>
      </c>
      <c r="X69" s="15">
        <f>IF(AND(J69="Done",OR(K69="Done",K69="Not required"),OR(L69="Done",L69="Not required"),M69="Passed",N69="Accepted",ISNUMBER(O69),O69=0,Q69="",F69&lt;&gt;"",S69&lt;&gt;"",T69&lt;&gt;"",ISNUMBER(U69),OR(AND(K69&lt;&gt;"Not required",L69&lt;&gt;"Not required"),V69&lt;&gt;""),P69&lt;&gt;"Rolled back"),"Yes","No")</f>
        <v/>
      </c>
      <c r="Y69" s="15">
        <f>IF(X69="Yes","Completed",IF(H69="","No deadline",IF(NOT(ISNUMBER(H69)),"Check date",IF(H69&lt;Overview!$I$3,"Overdue",IF(H69&lt;=Overview!$I$3+7,"Due soon","On track")))))</f>
        <v/>
      </c>
      <c r="Z69" s="37">
        <f>IF(AND(X69&lt;&gt;"Yes",ISNUMBER(H69)),MAX(0,Overview!$I$3-H69),0)</f>
        <v/>
      </c>
      <c r="AA69" s="5" t="inlineStr">
        <is>
          <t>School Admin</t>
        </is>
      </c>
      <c r="AB69" t="inlineStr">
        <is>
          <t>/school/students/[id]</t>
        </is>
      </c>
    </row>
    <row r="70" ht="35" customHeight="1">
      <c r="A70" s="2" t="inlineStr">
        <is>
          <t>SCR-064</t>
        </is>
      </c>
      <c r="B70" s="5" t="inlineStr">
        <is>
          <t>Student Behaviour &amp; Discipline</t>
        </is>
      </c>
      <c r="C70" s="5" t="inlineStr">
        <is>
          <t>Students</t>
        </is>
      </c>
      <c r="D70" s="2" t="inlineStr">
        <is>
          <t>Phase 2</t>
        </is>
      </c>
      <c r="E70" s="2" t="inlineStr">
        <is>
          <t>US-0127, US-0128</t>
        </is>
      </c>
      <c r="F70" s="24" t="n"/>
      <c r="G70" s="24" t="n"/>
      <c r="H70" s="32" t="n"/>
      <c r="I70" s="2" t="inlineStr">
        <is>
          <t>Ready</t>
        </is>
      </c>
      <c r="J70" s="33" t="inlineStr">
        <is>
          <t>Done</t>
        </is>
      </c>
      <c r="K70" s="33" t="inlineStr">
        <is>
          <t>Done</t>
        </is>
      </c>
      <c r="L70" s="24" t="inlineStr">
        <is>
          <t>Not assessed</t>
        </is>
      </c>
      <c r="M70" s="24" t="inlineStr">
        <is>
          <t>Not assessed</t>
        </is>
      </c>
      <c r="N70" s="24" t="inlineStr">
        <is>
          <t>Not assessed</t>
        </is>
      </c>
      <c r="O70" s="35" t="n"/>
      <c r="P70" s="24" t="inlineStr">
        <is>
          <t>Not scheduled</t>
        </is>
      </c>
      <c r="Q70" s="24" t="n"/>
      <c r="R70" s="24" t="inlineStr">
        <is>
          <t>Conduct tab: incidents for this child</t>
        </is>
      </c>
      <c r="S70" s="24" t="n"/>
      <c r="T70" s="24" t="n"/>
      <c r="U70" s="36" t="n">
        <v>46285</v>
      </c>
      <c r="V70" s="24" t="n"/>
      <c r="W70" s="15">
        <f>IF(P70="Production",IF(X70="Yes","Released","Review release"),IF(P70="Rolled back","Rolled back",IF(OR(Q70&lt;&gt;"",COUNTIFS(J70:N70,"Blocked")&gt;0),"Blocked",IF(OR(M70="Failed",N70="Rejected",AND(ISNUMBER(O70),O70&gt;0)),"Rework",IF(X70="Yes","Ready for release",IF(N70="Accepted","Verify completion",IF(OR(M70="Passed",M70="In progress",N70="In review"),"Testing / review",IF(OR(COUNTIFS(J70:L70,"In progress")&gt;0,COUNTIFS(J70:L70,"In review")&gt;0,COUNTIFS(J70:L70,"Done")&gt;0),"In progress",IF(COUNTIFS(J70:N70,"Not assessed")=5,"Not assessed","Planned")))))))))</f>
        <v/>
      </c>
      <c r="X70" s="15">
        <f>IF(AND(J70="Done",OR(K70="Done",K70="Not required"),OR(L70="Done",L70="Not required"),M70="Passed",N70="Accepted",ISNUMBER(O70),O70=0,Q70="",F70&lt;&gt;"",S70&lt;&gt;"",T70&lt;&gt;"",ISNUMBER(U70),OR(AND(K70&lt;&gt;"Not required",L70&lt;&gt;"Not required"),V70&lt;&gt;""),P70&lt;&gt;"Rolled back"),"Yes","No")</f>
        <v/>
      </c>
      <c r="Y70" s="15">
        <f>IF(X70="Yes","Completed",IF(H70="","No deadline",IF(NOT(ISNUMBER(H70)),"Check date",IF(H70&lt;Overview!$I$3,"Overdue",IF(H70&lt;=Overview!$I$3+7,"Due soon","On track")))))</f>
        <v/>
      </c>
      <c r="Z70" s="37">
        <f>IF(AND(X70&lt;&gt;"Yes",ISNUMBER(H70)),MAX(0,Overview!$I$3-H70),0)</f>
        <v/>
      </c>
      <c r="AA70" s="5" t="inlineStr">
        <is>
          <t>School Admin</t>
        </is>
      </c>
      <c r="AB70" t="inlineStr">
        <is>
          <t>/school/students/[id]</t>
        </is>
      </c>
    </row>
    <row r="71" ht="35" customHeight="1">
      <c r="A71" s="2" t="inlineStr">
        <is>
          <t>SCR-065</t>
        </is>
      </c>
      <c r="B71" s="5" t="inlineStr">
        <is>
          <t>Student Health</t>
        </is>
      </c>
      <c r="C71" s="5" t="inlineStr">
        <is>
          <t>Students</t>
        </is>
      </c>
      <c r="D71" s="2" t="inlineStr">
        <is>
          <t>Phase 2</t>
        </is>
      </c>
      <c r="E71" s="2" t="inlineStr">
        <is>
          <t>US-0129, US-0130</t>
        </is>
      </c>
      <c r="F71" s="24" t="n"/>
      <c r="G71" s="24" t="n"/>
      <c r="H71" s="32" t="n"/>
      <c r="I71" s="2" t="inlineStr">
        <is>
          <t>Ready</t>
        </is>
      </c>
      <c r="J71" s="33" t="inlineStr">
        <is>
          <t>Done</t>
        </is>
      </c>
      <c r="K71" s="33" t="inlineStr">
        <is>
          <t>Done</t>
        </is>
      </c>
      <c r="L71" s="24" t="inlineStr">
        <is>
          <t>Not assessed</t>
        </is>
      </c>
      <c r="M71" s="24" t="inlineStr">
        <is>
          <t>Not assessed</t>
        </is>
      </c>
      <c r="N71" s="24" t="inlineStr">
        <is>
          <t>Not assessed</t>
        </is>
      </c>
      <c r="O71" s="35" t="n"/>
      <c r="P71" s="24" t="inlineStr">
        <is>
          <t>Not scheduled</t>
        </is>
      </c>
      <c r="Q71" s="24" t="n"/>
      <c r="R71" s="24" t="inlineStr">
        <is>
          <t>Full per-student health record</t>
        </is>
      </c>
      <c r="S71" s="24" t="n"/>
      <c r="T71" s="24" t="n"/>
      <c r="U71" s="36" t="n">
        <v>46285</v>
      </c>
      <c r="V71" s="24" t="n"/>
      <c r="W71" s="15">
        <f>IF(P71="Production",IF(X71="Yes","Released","Review release"),IF(P71="Rolled back","Rolled back",IF(OR(Q71&lt;&gt;"",COUNTIFS(J71:N71,"Blocked")&gt;0),"Blocked",IF(OR(M71="Failed",N71="Rejected",AND(ISNUMBER(O71),O71&gt;0)),"Rework",IF(X71="Yes","Ready for release",IF(N71="Accepted","Verify completion",IF(OR(M71="Passed",M71="In progress",N71="In review"),"Testing / review",IF(OR(COUNTIFS(J71:L71,"In progress")&gt;0,COUNTIFS(J71:L71,"In review")&gt;0,COUNTIFS(J71:L71,"Done")&gt;0),"In progress",IF(COUNTIFS(J71:N71,"Not assessed")=5,"Not assessed","Planned")))))))))</f>
        <v/>
      </c>
      <c r="X71" s="15">
        <f>IF(AND(J71="Done",OR(K71="Done",K71="Not required"),OR(L71="Done",L71="Not required"),M71="Passed",N71="Accepted",ISNUMBER(O71),O71=0,Q71="",F71&lt;&gt;"",S71&lt;&gt;"",T71&lt;&gt;"",ISNUMBER(U71),OR(AND(K71&lt;&gt;"Not required",L71&lt;&gt;"Not required"),V71&lt;&gt;""),P71&lt;&gt;"Rolled back"),"Yes","No")</f>
        <v/>
      </c>
      <c r="Y71" s="15">
        <f>IF(X71="Yes","Completed",IF(H71="","No deadline",IF(NOT(ISNUMBER(H71)),"Check date",IF(H71&lt;Overview!$I$3,"Overdue",IF(H71&lt;=Overview!$I$3+7,"Due soon","On track")))))</f>
        <v/>
      </c>
      <c r="Z71" s="37">
        <f>IF(AND(X71&lt;&gt;"Yes",ISNUMBER(H71)),MAX(0,Overview!$I$3-H71),0)</f>
        <v/>
      </c>
      <c r="AA71" s="5" t="inlineStr">
        <is>
          <t>School Admin</t>
        </is>
      </c>
      <c r="AB71" t="inlineStr">
        <is>
          <t>/school/health/students/[id]</t>
        </is>
      </c>
    </row>
    <row r="72" ht="35" customHeight="1">
      <c r="A72" s="2" t="inlineStr">
        <is>
          <t>SCR-066</t>
        </is>
      </c>
      <c r="B72" s="5" t="inlineStr">
        <is>
          <t>Student Transport</t>
        </is>
      </c>
      <c r="C72" s="5" t="inlineStr">
        <is>
          <t>Students</t>
        </is>
      </c>
      <c r="D72" s="2" t="inlineStr">
        <is>
          <t>Phase 3</t>
        </is>
      </c>
      <c r="E72" s="2" t="inlineStr">
        <is>
          <t>US-0131, US-0132</t>
        </is>
      </c>
      <c r="F72" s="24" t="n"/>
      <c r="G72" s="24" t="n"/>
      <c r="H72" s="32" t="n"/>
      <c r="I72" s="2" t="inlineStr">
        <is>
          <t>Ready</t>
        </is>
      </c>
      <c r="J72" s="33" t="inlineStr">
        <is>
          <t>Done</t>
        </is>
      </c>
      <c r="K72" s="33" t="inlineStr">
        <is>
          <t>Done</t>
        </is>
      </c>
      <c r="L72" s="24" t="inlineStr">
        <is>
          <t>Not assessed</t>
        </is>
      </c>
      <c r="M72" s="24" t="inlineStr">
        <is>
          <t>Not assessed</t>
        </is>
      </c>
      <c r="N72" s="24" t="inlineStr">
        <is>
          <t>Not assessed</t>
        </is>
      </c>
      <c r="O72" s="35" t="n"/>
      <c r="P72" s="24" t="inlineStr">
        <is>
          <t>Not scheduled</t>
        </is>
      </c>
      <c r="Q72" s="24" t="n"/>
      <c r="R72" s="24" t="inlineStr">
        <is>
          <t>Search by student, assign, move, end</t>
        </is>
      </c>
      <c r="S72" s="24" t="n"/>
      <c r="T72" s="24" t="n"/>
      <c r="U72" s="36" t="n">
        <v>46285</v>
      </c>
      <c r="V72" s="24" t="n"/>
      <c r="W72" s="15">
        <f>IF(P72="Production",IF(X72="Yes","Released","Review release"),IF(P72="Rolled back","Rolled back",IF(OR(Q72&lt;&gt;"",COUNTIFS(J72:N72,"Blocked")&gt;0),"Blocked",IF(OR(M72="Failed",N72="Rejected",AND(ISNUMBER(O72),O72&gt;0)),"Rework",IF(X72="Yes","Ready for release",IF(N72="Accepted","Verify completion",IF(OR(M72="Passed",M72="In progress",N72="In review"),"Testing / review",IF(OR(COUNTIFS(J72:L72,"In progress")&gt;0,COUNTIFS(J72:L72,"In review")&gt;0,COUNTIFS(J72:L72,"Done")&gt;0),"In progress",IF(COUNTIFS(J72:N72,"Not assessed")=5,"Not assessed","Planned")))))))))</f>
        <v/>
      </c>
      <c r="X72" s="15">
        <f>IF(AND(J72="Done",OR(K72="Done",K72="Not required"),OR(L72="Done",L72="Not required"),M72="Passed",N72="Accepted",ISNUMBER(O72),O72=0,Q72="",F72&lt;&gt;"",S72&lt;&gt;"",T72&lt;&gt;"",ISNUMBER(U72),OR(AND(K72&lt;&gt;"Not required",L72&lt;&gt;"Not required"),V72&lt;&gt;""),P72&lt;&gt;"Rolled back"),"Yes","No")</f>
        <v/>
      </c>
      <c r="Y72" s="15">
        <f>IF(X72="Yes","Completed",IF(H72="","No deadline",IF(NOT(ISNUMBER(H72)),"Check date",IF(H72&lt;Overview!$I$3,"Overdue",IF(H72&lt;=Overview!$I$3+7,"Due soon","On track")))))</f>
        <v/>
      </c>
      <c r="Z72" s="37">
        <f>IF(AND(X72&lt;&gt;"Yes",ISNUMBER(H72)),MAX(0,Overview!$I$3-H72),0)</f>
        <v/>
      </c>
      <c r="AA72" s="5" t="inlineStr">
        <is>
          <t>School Admin</t>
        </is>
      </c>
      <c r="AB72" t="inlineStr">
        <is>
          <t>/school/transport/students</t>
        </is>
      </c>
    </row>
    <row r="73" ht="35" customHeight="1">
      <c r="A73" s="2" t="inlineStr">
        <is>
          <t>SCR-067</t>
        </is>
      </c>
      <c r="B73" s="5" t="inlineStr">
        <is>
          <t>Student Library</t>
        </is>
      </c>
      <c r="C73" s="5" t="inlineStr">
        <is>
          <t>Students</t>
        </is>
      </c>
      <c r="D73" s="2" t="inlineStr">
        <is>
          <t>Phase 3</t>
        </is>
      </c>
      <c r="E73" s="2" t="inlineStr">
        <is>
          <t>US-0133, US-0134</t>
        </is>
      </c>
      <c r="F73" s="24" t="n"/>
      <c r="G73" s="24" t="n"/>
      <c r="H73" s="32" t="n"/>
      <c r="I73" s="2" t="inlineStr">
        <is>
          <t>Ready</t>
        </is>
      </c>
      <c r="J73" s="33" t="inlineStr">
        <is>
          <t>Done</t>
        </is>
      </c>
      <c r="K73" s="33" t="inlineStr">
        <is>
          <t>Done</t>
        </is>
      </c>
      <c r="L73" s="24" t="inlineStr">
        <is>
          <t>Not assessed</t>
        </is>
      </c>
      <c r="M73" s="24" t="inlineStr">
        <is>
          <t>Not assessed</t>
        </is>
      </c>
      <c r="N73" s="24" t="inlineStr">
        <is>
          <t>Not assessed</t>
        </is>
      </c>
      <c r="O73" s="35" t="n"/>
      <c r="P73" s="24" t="inlineStr">
        <is>
          <t>Not scheduled</t>
        </is>
      </c>
      <c r="Q73" s="24" t="n"/>
      <c r="R73" s="24" t="inlineStr">
        <is>
          <t>Library tab: loans, overdue and fines</t>
        </is>
      </c>
      <c r="S73" s="24" t="n"/>
      <c r="T73" s="24" t="n"/>
      <c r="U73" s="36" t="n">
        <v>46285</v>
      </c>
      <c r="V73" s="24" t="n"/>
      <c r="W73" s="15">
        <f>IF(P73="Production",IF(X73="Yes","Released","Review release"),IF(P73="Rolled back","Rolled back",IF(OR(Q73&lt;&gt;"",COUNTIFS(J73:N73,"Blocked")&gt;0),"Blocked",IF(OR(M73="Failed",N73="Rejected",AND(ISNUMBER(O73),O73&gt;0)),"Rework",IF(X73="Yes","Ready for release",IF(N73="Accepted","Verify completion",IF(OR(M73="Passed",M73="In progress",N73="In review"),"Testing / review",IF(OR(COUNTIFS(J73:L73,"In progress")&gt;0,COUNTIFS(J73:L73,"In review")&gt;0,COUNTIFS(J73:L73,"Done")&gt;0),"In progress",IF(COUNTIFS(J73:N73,"Not assessed")=5,"Not assessed","Planned")))))))))</f>
        <v/>
      </c>
      <c r="X73" s="15">
        <f>IF(AND(J73="Done",OR(K73="Done",K73="Not required"),OR(L73="Done",L73="Not required"),M73="Passed",N73="Accepted",ISNUMBER(O73),O73=0,Q73="",F73&lt;&gt;"",S73&lt;&gt;"",T73&lt;&gt;"",ISNUMBER(U73),OR(AND(K73&lt;&gt;"Not required",L73&lt;&gt;"Not required"),V73&lt;&gt;""),P73&lt;&gt;"Rolled back"),"Yes","No")</f>
        <v/>
      </c>
      <c r="Y73" s="15">
        <f>IF(X73="Yes","Completed",IF(H73="","No deadline",IF(NOT(ISNUMBER(H73)),"Check date",IF(H73&lt;Overview!$I$3,"Overdue",IF(H73&lt;=Overview!$I$3+7,"Due soon","On track")))))</f>
        <v/>
      </c>
      <c r="Z73" s="37">
        <f>IF(AND(X73&lt;&gt;"Yes",ISNUMBER(H73)),MAX(0,Overview!$I$3-H73),0)</f>
        <v/>
      </c>
      <c r="AA73" s="5" t="inlineStr">
        <is>
          <t>School Admin</t>
        </is>
      </c>
      <c r="AB73" t="inlineStr">
        <is>
          <t>/school/students/[id]</t>
        </is>
      </c>
    </row>
    <row r="74" ht="35" customHeight="1">
      <c r="A74" s="2" t="inlineStr">
        <is>
          <t>SCR-068</t>
        </is>
      </c>
      <c r="B74" s="5" t="inlineStr">
        <is>
          <t>Siblings &amp; Family</t>
        </is>
      </c>
      <c r="C74" s="5" t="inlineStr">
        <is>
          <t>Students</t>
        </is>
      </c>
      <c r="D74" s="2" t="inlineStr">
        <is>
          <t>Phase 3</t>
        </is>
      </c>
      <c r="E74" s="2" t="inlineStr">
        <is>
          <t>US-0135, US-0136</t>
        </is>
      </c>
      <c r="F74" s="24" t="n"/>
      <c r="G74" s="24" t="n"/>
      <c r="H74" s="32" t="n"/>
      <c r="I74" s="2" t="inlineStr">
        <is>
          <t>Ready</t>
        </is>
      </c>
      <c r="J74" s="33" t="inlineStr">
        <is>
          <t>Done</t>
        </is>
      </c>
      <c r="K74" s="33" t="inlineStr">
        <is>
          <t>Done</t>
        </is>
      </c>
      <c r="L74" s="24" t="inlineStr">
        <is>
          <t>Not assessed</t>
        </is>
      </c>
      <c r="M74" s="24" t="inlineStr">
        <is>
          <t>Not assessed</t>
        </is>
      </c>
      <c r="N74" s="24" t="inlineStr">
        <is>
          <t>Not assessed</t>
        </is>
      </c>
      <c r="O74" s="35" t="n"/>
      <c r="P74" s="24" t="inlineStr">
        <is>
          <t>Not scheduled</t>
        </is>
      </c>
      <c r="Q74" s="24" t="n"/>
      <c r="R74" s="24" t="inlineStr">
        <is>
          <t>Siblings derived from shared parents, never stored</t>
        </is>
      </c>
      <c r="S74" s="24" t="n"/>
      <c r="T74" s="24" t="n"/>
      <c r="U74" s="36" t="n">
        <v>46285</v>
      </c>
      <c r="V74" s="24" t="n"/>
      <c r="W74" s="15">
        <f>IF(P74="Production",IF(X74="Yes","Released","Review release"),IF(P74="Rolled back","Rolled back",IF(OR(Q74&lt;&gt;"",COUNTIFS(J74:N74,"Blocked")&gt;0),"Blocked",IF(OR(M74="Failed",N74="Rejected",AND(ISNUMBER(O74),O74&gt;0)),"Rework",IF(X74="Yes","Ready for release",IF(N74="Accepted","Verify completion",IF(OR(M74="Passed",M74="In progress",N74="In review"),"Testing / review",IF(OR(COUNTIFS(J74:L74,"In progress")&gt;0,COUNTIFS(J74:L74,"In review")&gt;0,COUNTIFS(J74:L74,"Done")&gt;0),"In progress",IF(COUNTIFS(J74:N74,"Not assessed")=5,"Not assessed","Planned")))))))))</f>
        <v/>
      </c>
      <c r="X74" s="15">
        <f>IF(AND(J74="Done",OR(K74="Done",K74="Not required"),OR(L74="Done",L74="Not required"),M74="Passed",N74="Accepted",ISNUMBER(O74),O74=0,Q74="",F74&lt;&gt;"",S74&lt;&gt;"",T74&lt;&gt;"",ISNUMBER(U74),OR(AND(K74&lt;&gt;"Not required",L74&lt;&gt;"Not required"),V74&lt;&gt;""),P74&lt;&gt;"Rolled back"),"Yes","No")</f>
        <v/>
      </c>
      <c r="Y74" s="15">
        <f>IF(X74="Yes","Completed",IF(H74="","No deadline",IF(NOT(ISNUMBER(H74)),"Check date",IF(H74&lt;Overview!$I$3,"Overdue",IF(H74&lt;=Overview!$I$3+7,"Due soon","On track")))))</f>
        <v/>
      </c>
      <c r="Z74" s="37">
        <f>IF(AND(X74&lt;&gt;"Yes",ISNUMBER(H74)),MAX(0,Overview!$I$3-H74),0)</f>
        <v/>
      </c>
      <c r="AA74" s="5" t="inlineStr">
        <is>
          <t>School Admin</t>
        </is>
      </c>
      <c r="AB74" t="inlineStr">
        <is>
          <t>/school/students/[id]/family</t>
        </is>
      </c>
    </row>
    <row r="75" ht="35" customHeight="1">
      <c r="A75" s="2" t="inlineStr">
        <is>
          <t>SCR-069</t>
        </is>
      </c>
      <c r="B75" s="5" t="inlineStr">
        <is>
          <t>Promotion / Transfer</t>
        </is>
      </c>
      <c r="C75" s="5" t="inlineStr">
        <is>
          <t>Students</t>
        </is>
      </c>
      <c r="D75" s="2" t="inlineStr">
        <is>
          <t>Phase 3</t>
        </is>
      </c>
      <c r="E75" s="2" t="inlineStr">
        <is>
          <t>US-0137, US-0138</t>
        </is>
      </c>
      <c r="F75" s="24" t="n"/>
      <c r="G75" s="24" t="n"/>
      <c r="H75" s="32" t="n"/>
      <c r="I75" s="2" t="inlineStr">
        <is>
          <t>Ready</t>
        </is>
      </c>
      <c r="J75" s="33" t="inlineStr">
        <is>
          <t>Done</t>
        </is>
      </c>
      <c r="K75" s="33" t="inlineStr">
        <is>
          <t>Done</t>
        </is>
      </c>
      <c r="L75" s="24" t="inlineStr">
        <is>
          <t>Not assessed</t>
        </is>
      </c>
      <c r="M75" s="24" t="inlineStr">
        <is>
          <t>Not assessed</t>
        </is>
      </c>
      <c r="N75" s="24" t="inlineStr">
        <is>
          <t>Not assessed</t>
        </is>
      </c>
      <c r="O75" s="35" t="n"/>
      <c r="P75" s="24" t="inlineStr">
        <is>
          <t>Not scheduled</t>
        </is>
      </c>
      <c r="Q75" s="24" t="n"/>
      <c r="R75" s="24" t="inlineStr">
        <is>
          <t>Bulk promote plus section change</t>
        </is>
      </c>
      <c r="S75" s="24" t="n"/>
      <c r="T75" s="24" t="n"/>
      <c r="U75" s="36" t="n">
        <v>46285</v>
      </c>
      <c r="V75" s="24" t="n"/>
      <c r="W75" s="15">
        <f>IF(P75="Production",IF(X75="Yes","Released","Review release"),IF(P75="Rolled back","Rolled back",IF(OR(Q75&lt;&gt;"",COUNTIFS(J75:N75,"Blocked")&gt;0),"Blocked",IF(OR(M75="Failed",N75="Rejected",AND(ISNUMBER(O75),O75&gt;0)),"Rework",IF(X75="Yes","Ready for release",IF(N75="Accepted","Verify completion",IF(OR(M75="Passed",M75="In progress",N75="In review"),"Testing / review",IF(OR(COUNTIFS(J75:L75,"In progress")&gt;0,COUNTIFS(J75:L75,"In review")&gt;0,COUNTIFS(J75:L75,"Done")&gt;0),"In progress",IF(COUNTIFS(J75:N75,"Not assessed")=5,"Not assessed","Planned")))))))))</f>
        <v/>
      </c>
      <c r="X75" s="15">
        <f>IF(AND(J75="Done",OR(K75="Done",K75="Not required"),OR(L75="Done",L75="Not required"),M75="Passed",N75="Accepted",ISNUMBER(O75),O75=0,Q75="",F75&lt;&gt;"",S75&lt;&gt;"",T75&lt;&gt;"",ISNUMBER(U75),OR(AND(K75&lt;&gt;"Not required",L75&lt;&gt;"Not required"),V75&lt;&gt;""),P75&lt;&gt;"Rolled back"),"Yes","No")</f>
        <v/>
      </c>
      <c r="Y75" s="15">
        <f>IF(X75="Yes","Completed",IF(H75="","No deadline",IF(NOT(ISNUMBER(H75)),"Check date",IF(H75&lt;Overview!$I$3,"Overdue",IF(H75&lt;=Overview!$I$3+7,"Due soon","On track")))))</f>
        <v/>
      </c>
      <c r="Z75" s="37">
        <f>IF(AND(X75&lt;&gt;"Yes",ISNUMBER(H75)),MAX(0,Overview!$I$3-H75),0)</f>
        <v/>
      </c>
      <c r="AA75" s="5" t="inlineStr">
        <is>
          <t>School Admin</t>
        </is>
      </c>
      <c r="AB75" t="inlineStr">
        <is>
          <t>/school/students</t>
        </is>
      </c>
    </row>
    <row r="76" ht="35" customHeight="1">
      <c r="A76" s="2" t="inlineStr">
        <is>
          <t>SCR-070</t>
        </is>
      </c>
      <c r="B76" s="5" t="inlineStr">
        <is>
          <t>Student Exit / Alumni Conversion</t>
        </is>
      </c>
      <c r="C76" s="5" t="inlineStr">
        <is>
          <t>Students</t>
        </is>
      </c>
      <c r="D76" s="2" t="inlineStr">
        <is>
          <t>Phase 3</t>
        </is>
      </c>
      <c r="E76" s="2" t="inlineStr">
        <is>
          <t>US-0139, US-0140</t>
        </is>
      </c>
      <c r="F76" s="24" t="n"/>
      <c r="G76" s="24" t="n"/>
      <c r="H76" s="32" t="n"/>
      <c r="I76" s="2" t="inlineStr">
        <is>
          <t>Ready</t>
        </is>
      </c>
      <c r="J76" s="33" t="inlineStr">
        <is>
          <t>Done</t>
        </is>
      </c>
      <c r="K76" s="33" t="inlineStr">
        <is>
          <t>Done</t>
        </is>
      </c>
      <c r="L76" s="24" t="inlineStr">
        <is>
          <t>Not assessed</t>
        </is>
      </c>
      <c r="M76" s="24" t="inlineStr">
        <is>
          <t>Not assessed</t>
        </is>
      </c>
      <c r="N76" s="24" t="inlineStr">
        <is>
          <t>Not assessed</t>
        </is>
      </c>
      <c r="O76" s="35" t="n"/>
      <c r="P76" s="24" t="inlineStr">
        <is>
          <t>Not scheduled</t>
        </is>
      </c>
      <c r="Q76" s="24" t="n"/>
      <c r="R76" s="24" t="inlineStr">
        <is>
          <t>Derived from enrolment; flags leavers with no certificate</t>
        </is>
      </c>
      <c r="S76" s="24" t="n"/>
      <c r="T76" s="24" t="n"/>
      <c r="U76" s="36" t="n">
        <v>46285</v>
      </c>
      <c r="V76" s="24" t="n"/>
      <c r="W76" s="15">
        <f>IF(P76="Production",IF(X76="Yes","Released","Review release"),IF(P76="Rolled back","Rolled back",IF(OR(Q76&lt;&gt;"",COUNTIFS(J76:N76,"Blocked")&gt;0),"Blocked",IF(OR(M76="Failed",N76="Rejected",AND(ISNUMBER(O76),O76&gt;0)),"Rework",IF(X76="Yes","Ready for release",IF(N76="Accepted","Verify completion",IF(OR(M76="Passed",M76="In progress",N76="In review"),"Testing / review",IF(OR(COUNTIFS(J76:L76,"In progress")&gt;0,COUNTIFS(J76:L76,"In review")&gt;0,COUNTIFS(J76:L76,"Done")&gt;0),"In progress",IF(COUNTIFS(J76:N76,"Not assessed")=5,"Not assessed","Planned")))))))))</f>
        <v/>
      </c>
      <c r="X76" s="15">
        <f>IF(AND(J76="Done",OR(K76="Done",K76="Not required"),OR(L76="Done",L76="Not required"),M76="Passed",N76="Accepted",ISNUMBER(O76),O76=0,Q76="",F76&lt;&gt;"",S76&lt;&gt;"",T76&lt;&gt;"",ISNUMBER(U76),OR(AND(K76&lt;&gt;"Not required",L76&lt;&gt;"Not required"),V76&lt;&gt;""),P76&lt;&gt;"Rolled back"),"Yes","No")</f>
        <v/>
      </c>
      <c r="Y76" s="15">
        <f>IF(X76="Yes","Completed",IF(H76="","No deadline",IF(NOT(ISNUMBER(H76)),"Check date",IF(H76&lt;Overview!$I$3,"Overdue",IF(H76&lt;=Overview!$I$3+7,"Due soon","On track")))))</f>
        <v/>
      </c>
      <c r="Z76" s="37">
        <f>IF(AND(X76&lt;&gt;"Yes",ISNUMBER(H76)),MAX(0,Overview!$I$3-H76),0)</f>
        <v/>
      </c>
      <c r="AA76" s="5" t="inlineStr">
        <is>
          <t>School Admin</t>
        </is>
      </c>
      <c r="AB76" t="inlineStr">
        <is>
          <t>/school/students/leavers</t>
        </is>
      </c>
    </row>
    <row r="77" ht="35" customHeight="1">
      <c r="A77" s="2" t="inlineStr">
        <is>
          <t>SCR-071</t>
        </is>
      </c>
      <c r="B77" s="5" t="inlineStr">
        <is>
          <t>Parent / Guardian Directory</t>
        </is>
      </c>
      <c r="C77" s="5" t="inlineStr">
        <is>
          <t>Parents &amp; Guardians</t>
        </is>
      </c>
      <c r="D77" s="2" t="inlineStr">
        <is>
          <t>MVP</t>
        </is>
      </c>
      <c r="E77" s="2" t="inlineStr">
        <is>
          <t>US-0141, US-0142</t>
        </is>
      </c>
      <c r="F77" s="24" t="n"/>
      <c r="G77" s="24" t="n"/>
      <c r="H77" s="32" t="n"/>
      <c r="I77" s="2" t="inlineStr">
        <is>
          <t>Ready</t>
        </is>
      </c>
      <c r="J77" s="33" t="inlineStr">
        <is>
          <t>Done</t>
        </is>
      </c>
      <c r="K77" s="33" t="inlineStr">
        <is>
          <t>Done</t>
        </is>
      </c>
      <c r="L77" s="24" t="inlineStr">
        <is>
          <t>Not assessed</t>
        </is>
      </c>
      <c r="M77" s="24" t="inlineStr">
        <is>
          <t>Not assessed</t>
        </is>
      </c>
      <c r="N77" s="24" t="inlineStr">
        <is>
          <t>Not assessed</t>
        </is>
      </c>
      <c r="O77" s="35" t="n"/>
      <c r="P77" s="24" t="inlineStr">
        <is>
          <t>Not scheduled</t>
        </is>
      </c>
      <c r="Q77" s="24" t="n"/>
      <c r="R77" s="24" t="inlineStr">
        <is>
          <t>Search, status filter, linked children</t>
        </is>
      </c>
      <c r="S77" s="24" t="n"/>
      <c r="T77" s="24" t="n"/>
      <c r="U77" s="36" t="n">
        <v>46285</v>
      </c>
      <c r="V77" s="24" t="n"/>
      <c r="W77" s="15">
        <f>IF(P77="Production",IF(X77="Yes","Released","Review release"),IF(P77="Rolled back","Rolled back",IF(OR(Q77&lt;&gt;"",COUNTIFS(J77:N77,"Blocked")&gt;0),"Blocked",IF(OR(M77="Failed",N77="Rejected",AND(ISNUMBER(O77),O77&gt;0)),"Rework",IF(X77="Yes","Ready for release",IF(N77="Accepted","Verify completion",IF(OR(M77="Passed",M77="In progress",N77="In review"),"Testing / review",IF(OR(COUNTIFS(J77:L77,"In progress")&gt;0,COUNTIFS(J77:L77,"In review")&gt;0,COUNTIFS(J77:L77,"Done")&gt;0),"In progress",IF(COUNTIFS(J77:N77,"Not assessed")=5,"Not assessed","Planned")))))))))</f>
        <v/>
      </c>
      <c r="X77" s="15">
        <f>IF(AND(J77="Done",OR(K77="Done",K77="Not required"),OR(L77="Done",L77="Not required"),M77="Passed",N77="Accepted",ISNUMBER(O77),O77=0,Q77="",F77&lt;&gt;"",S77&lt;&gt;"",T77&lt;&gt;"",ISNUMBER(U77),OR(AND(K77&lt;&gt;"Not required",L77&lt;&gt;"Not required"),V77&lt;&gt;""),P77&lt;&gt;"Rolled back"),"Yes","No")</f>
        <v/>
      </c>
      <c r="Y77" s="15">
        <f>IF(X77="Yes","Completed",IF(H77="","No deadline",IF(NOT(ISNUMBER(H77)),"Check date",IF(H77&lt;Overview!$I$3,"Overdue",IF(H77&lt;=Overview!$I$3+7,"Due soon","On track")))))</f>
        <v/>
      </c>
      <c r="Z77" s="37">
        <f>IF(AND(X77&lt;&gt;"Yes",ISNUMBER(H77)),MAX(0,Overview!$I$3-H77),0)</f>
        <v/>
      </c>
      <c r="AA77" s="5" t="inlineStr">
        <is>
          <t>School Admin</t>
        </is>
      </c>
      <c r="AB77" t="inlineStr">
        <is>
          <t>/school/parents</t>
        </is>
      </c>
    </row>
    <row r="78" ht="35" customHeight="1">
      <c r="A78" s="2" t="inlineStr">
        <is>
          <t>SCR-072</t>
        </is>
      </c>
      <c r="B78" s="5" t="inlineStr">
        <is>
          <t>Add Parent / Guardian</t>
        </is>
      </c>
      <c r="C78" s="5" t="inlineStr">
        <is>
          <t>Parents &amp; Guardians</t>
        </is>
      </c>
      <c r="D78" s="2" t="inlineStr">
        <is>
          <t>MVP</t>
        </is>
      </c>
      <c r="E78" s="2" t="inlineStr">
        <is>
          <t>US-0143, US-0144</t>
        </is>
      </c>
      <c r="F78" s="24" t="n"/>
      <c r="G78" s="24" t="n"/>
      <c r="H78" s="32" t="n"/>
      <c r="I78" s="2" t="inlineStr">
        <is>
          <t>Ready</t>
        </is>
      </c>
      <c r="J78" s="33" t="inlineStr">
        <is>
          <t>Done</t>
        </is>
      </c>
      <c r="K78" s="33" t="inlineStr">
        <is>
          <t>Done</t>
        </is>
      </c>
      <c r="L78" s="24" t="inlineStr">
        <is>
          <t>Not assessed</t>
        </is>
      </c>
      <c r="M78" s="24" t="inlineStr">
        <is>
          <t>Not assessed</t>
        </is>
      </c>
      <c r="N78" s="24" t="inlineStr">
        <is>
          <t>Not assessed</t>
        </is>
      </c>
      <c r="O78" s="35" t="n"/>
      <c r="P78" s="24" t="inlineStr">
        <is>
          <t>Not scheduled</t>
        </is>
      </c>
      <c r="Q78" s="24" t="n"/>
      <c r="R78" s="24" t="inlineStr">
        <is>
          <t>Creates login, links a child, temp password</t>
        </is>
      </c>
      <c r="S78" s="24" t="n"/>
      <c r="T78" s="24" t="n"/>
      <c r="U78" s="36" t="n">
        <v>46285</v>
      </c>
      <c r="V78" s="24" t="n"/>
      <c r="W78" s="15">
        <f>IF(P78="Production",IF(X78="Yes","Released","Review release"),IF(P78="Rolled back","Rolled back",IF(OR(Q78&lt;&gt;"",COUNTIFS(J78:N78,"Blocked")&gt;0),"Blocked",IF(OR(M78="Failed",N78="Rejected",AND(ISNUMBER(O78),O78&gt;0)),"Rework",IF(X78="Yes","Ready for release",IF(N78="Accepted","Verify completion",IF(OR(M78="Passed",M78="In progress",N78="In review"),"Testing / review",IF(OR(COUNTIFS(J78:L78,"In progress")&gt;0,COUNTIFS(J78:L78,"In review")&gt;0,COUNTIFS(J78:L78,"Done")&gt;0),"In progress",IF(COUNTIFS(J78:N78,"Not assessed")=5,"Not assessed","Planned")))))))))</f>
        <v/>
      </c>
      <c r="X78" s="15">
        <f>IF(AND(J78="Done",OR(K78="Done",K78="Not required"),OR(L78="Done",L78="Not required"),M78="Passed",N78="Accepted",ISNUMBER(O78),O78=0,Q78="",F78&lt;&gt;"",S78&lt;&gt;"",T78&lt;&gt;"",ISNUMBER(U78),OR(AND(K78&lt;&gt;"Not required",L78&lt;&gt;"Not required"),V78&lt;&gt;""),P78&lt;&gt;"Rolled back"),"Yes","No")</f>
        <v/>
      </c>
      <c r="Y78" s="15">
        <f>IF(X78="Yes","Completed",IF(H78="","No deadline",IF(NOT(ISNUMBER(H78)),"Check date",IF(H78&lt;Overview!$I$3,"Overdue",IF(H78&lt;=Overview!$I$3+7,"Due soon","On track")))))</f>
        <v/>
      </c>
      <c r="Z78" s="37">
        <f>IF(AND(X78&lt;&gt;"Yes",ISNUMBER(H78)),MAX(0,Overview!$I$3-H78),0)</f>
        <v/>
      </c>
      <c r="AA78" s="5" t="inlineStr">
        <is>
          <t>School Admin</t>
        </is>
      </c>
      <c r="AB78" t="inlineStr">
        <is>
          <t>/school/parents</t>
        </is>
      </c>
    </row>
    <row r="79" ht="35" customHeight="1">
      <c r="A79" s="2" t="inlineStr">
        <is>
          <t>SCR-073</t>
        </is>
      </c>
      <c r="B79" s="5" t="inlineStr">
        <is>
          <t>Parent Profile</t>
        </is>
      </c>
      <c r="C79" s="5" t="inlineStr">
        <is>
          <t>Parents &amp; Guardians</t>
        </is>
      </c>
      <c r="D79" s="2" t="inlineStr">
        <is>
          <t>MVP</t>
        </is>
      </c>
      <c r="E79" s="2" t="inlineStr">
        <is>
          <t>US-0145, US-0146</t>
        </is>
      </c>
      <c r="F79" s="24" t="n"/>
      <c r="G79" s="24" t="n"/>
      <c r="H79" s="32" t="n"/>
      <c r="I79" s="2" t="inlineStr">
        <is>
          <t>Ready</t>
        </is>
      </c>
      <c r="J79" s="33" t="inlineStr">
        <is>
          <t>Done</t>
        </is>
      </c>
      <c r="K79" s="33" t="inlineStr">
        <is>
          <t>Done</t>
        </is>
      </c>
      <c r="L79" s="24" t="inlineStr">
        <is>
          <t>Not assessed</t>
        </is>
      </c>
      <c r="M79" s="24" t="inlineStr">
        <is>
          <t>Not assessed</t>
        </is>
      </c>
      <c r="N79" s="24" t="inlineStr">
        <is>
          <t>Not assessed</t>
        </is>
      </c>
      <c r="O79" s="35" t="n"/>
      <c r="P79" s="24" t="inlineStr">
        <is>
          <t>Not scheduled</t>
        </is>
      </c>
      <c r="Q79" s="24" t="n"/>
      <c r="R79" s="24" t="inlineStr">
        <is>
          <t>Profile, linked children, activate and reset</t>
        </is>
      </c>
      <c r="S79" s="24" t="n"/>
      <c r="T79" s="24" t="n"/>
      <c r="U79" s="36" t="n">
        <v>46285</v>
      </c>
      <c r="V79" s="24" t="n"/>
      <c r="W79" s="15">
        <f>IF(P79="Production",IF(X79="Yes","Released","Review release"),IF(P79="Rolled back","Rolled back",IF(OR(Q79&lt;&gt;"",COUNTIFS(J79:N79,"Blocked")&gt;0),"Blocked",IF(OR(M79="Failed",N79="Rejected",AND(ISNUMBER(O79),O79&gt;0)),"Rework",IF(X79="Yes","Ready for release",IF(N79="Accepted","Verify completion",IF(OR(M79="Passed",M79="In progress",N79="In review"),"Testing / review",IF(OR(COUNTIFS(J79:L79,"In progress")&gt;0,COUNTIFS(J79:L79,"In review")&gt;0,COUNTIFS(J79:L79,"Done")&gt;0),"In progress",IF(COUNTIFS(J79:N79,"Not assessed")=5,"Not assessed","Planned")))))))))</f>
        <v/>
      </c>
      <c r="X79" s="15">
        <f>IF(AND(J79="Done",OR(K79="Done",K79="Not required"),OR(L79="Done",L79="Not required"),M79="Passed",N79="Accepted",ISNUMBER(O79),O79=0,Q79="",F79&lt;&gt;"",S79&lt;&gt;"",T79&lt;&gt;"",ISNUMBER(U79),OR(AND(K79&lt;&gt;"Not required",L79&lt;&gt;"Not required"),V79&lt;&gt;""),P79&lt;&gt;"Rolled back"),"Yes","No")</f>
        <v/>
      </c>
      <c r="Y79" s="15">
        <f>IF(X79="Yes","Completed",IF(H79="","No deadline",IF(NOT(ISNUMBER(H79)),"Check date",IF(H79&lt;Overview!$I$3,"Overdue",IF(H79&lt;=Overview!$I$3+7,"Due soon","On track")))))</f>
        <v/>
      </c>
      <c r="Z79" s="37">
        <f>IF(AND(X79&lt;&gt;"Yes",ISNUMBER(H79)),MAX(0,Overview!$I$3-H79),0)</f>
        <v/>
      </c>
      <c r="AA79" s="5" t="inlineStr">
        <is>
          <t>School Admin</t>
        </is>
      </c>
      <c r="AB79" t="inlineStr">
        <is>
          <t>/school/parents/[id]</t>
        </is>
      </c>
    </row>
    <row r="80" ht="35" customHeight="1">
      <c r="A80" s="2" t="inlineStr">
        <is>
          <t>SCR-074</t>
        </is>
      </c>
      <c r="B80" s="5" t="inlineStr">
        <is>
          <t>Link Children</t>
        </is>
      </c>
      <c r="C80" s="5" t="inlineStr">
        <is>
          <t>Parents &amp; Guardians</t>
        </is>
      </c>
      <c r="D80" s="2" t="inlineStr">
        <is>
          <t>MVP</t>
        </is>
      </c>
      <c r="E80" s="2" t="inlineStr">
        <is>
          <t>US-0147, US-0148</t>
        </is>
      </c>
      <c r="F80" s="24" t="n"/>
      <c r="G80" s="24" t="n"/>
      <c r="H80" s="32" t="n"/>
      <c r="I80" s="2" t="inlineStr">
        <is>
          <t>Ready</t>
        </is>
      </c>
      <c r="J80" s="33" t="inlineStr">
        <is>
          <t>Done</t>
        </is>
      </c>
      <c r="K80" s="33" t="inlineStr">
        <is>
          <t>Done</t>
        </is>
      </c>
      <c r="L80" s="24" t="inlineStr">
        <is>
          <t>Not assessed</t>
        </is>
      </c>
      <c r="M80" s="24" t="inlineStr">
        <is>
          <t>Not assessed</t>
        </is>
      </c>
      <c r="N80" s="24" t="inlineStr">
        <is>
          <t>Not assessed</t>
        </is>
      </c>
      <c r="O80" s="35" t="n"/>
      <c r="P80" s="24" t="inlineStr">
        <is>
          <t>Not scheduled</t>
        </is>
      </c>
      <c r="Q80" s="24" t="n"/>
      <c r="R80" s="24" t="inlineStr">
        <is>
          <t>Link and unlink children with relation</t>
        </is>
      </c>
      <c r="S80" s="24" t="n"/>
      <c r="T80" s="24" t="n"/>
      <c r="U80" s="36" t="n">
        <v>46285</v>
      </c>
      <c r="V80" s="24" t="n"/>
      <c r="W80" s="15">
        <f>IF(P80="Production",IF(X80="Yes","Released","Review release"),IF(P80="Rolled back","Rolled back",IF(OR(Q80&lt;&gt;"",COUNTIFS(J80:N80,"Blocked")&gt;0),"Blocked",IF(OR(M80="Failed",N80="Rejected",AND(ISNUMBER(O80),O80&gt;0)),"Rework",IF(X80="Yes","Ready for release",IF(N80="Accepted","Verify completion",IF(OR(M80="Passed",M80="In progress",N80="In review"),"Testing / review",IF(OR(COUNTIFS(J80:L80,"In progress")&gt;0,COUNTIFS(J80:L80,"In review")&gt;0,COUNTIFS(J80:L80,"Done")&gt;0),"In progress",IF(COUNTIFS(J80:N80,"Not assessed")=5,"Not assessed","Planned")))))))))</f>
        <v/>
      </c>
      <c r="X80" s="15">
        <f>IF(AND(J80="Done",OR(K80="Done",K80="Not required"),OR(L80="Done",L80="Not required"),M80="Passed",N80="Accepted",ISNUMBER(O80),O80=0,Q80="",F80&lt;&gt;"",S80&lt;&gt;"",T80&lt;&gt;"",ISNUMBER(U80),OR(AND(K80&lt;&gt;"Not required",L80&lt;&gt;"Not required"),V80&lt;&gt;""),P80&lt;&gt;"Rolled back"),"Yes","No")</f>
        <v/>
      </c>
      <c r="Y80" s="15">
        <f>IF(X80="Yes","Completed",IF(H80="","No deadline",IF(NOT(ISNUMBER(H80)),"Check date",IF(H80&lt;Overview!$I$3,"Overdue",IF(H80&lt;=Overview!$I$3+7,"Due soon","On track")))))</f>
        <v/>
      </c>
      <c r="Z80" s="37">
        <f>IF(AND(X80&lt;&gt;"Yes",ISNUMBER(H80)),MAX(0,Overview!$I$3-H80),0)</f>
        <v/>
      </c>
      <c r="AA80" s="5" t="inlineStr">
        <is>
          <t>School Admin</t>
        </is>
      </c>
      <c r="AB80" t="inlineStr">
        <is>
          <t>/school/parents</t>
        </is>
      </c>
    </row>
    <row r="81" ht="35" customHeight="1">
      <c r="A81" s="2" t="inlineStr">
        <is>
          <t>SCR-075</t>
        </is>
      </c>
      <c r="B81" s="5" t="inlineStr">
        <is>
          <t>Communication Preferences</t>
        </is>
      </c>
      <c r="C81" s="5" t="inlineStr">
        <is>
          <t>Parents &amp; Guardians</t>
        </is>
      </c>
      <c r="D81" s="2" t="inlineStr">
        <is>
          <t>Phase 2</t>
        </is>
      </c>
      <c r="E81" s="2" t="inlineStr">
        <is>
          <t>US-0149, US-0150</t>
        </is>
      </c>
      <c r="F81" s="24" t="n"/>
      <c r="G81" s="24" t="n"/>
      <c r="H81" s="32" t="n"/>
      <c r="I81" s="2" t="inlineStr">
        <is>
          <t>Ready</t>
        </is>
      </c>
      <c r="J81" s="39" t="inlineStr">
        <is>
          <t>Not started</t>
        </is>
      </c>
      <c r="K81" s="39" t="inlineStr">
        <is>
          <t>Not started</t>
        </is>
      </c>
      <c r="L81" s="24" t="inlineStr">
        <is>
          <t>Not assessed</t>
        </is>
      </c>
      <c r="M81" s="24" t="inlineStr">
        <is>
          <t>Not assessed</t>
        </is>
      </c>
      <c r="N81" s="24" t="inlineStr">
        <is>
          <t>Not assessed</t>
        </is>
      </c>
      <c r="O81" s="35" t="n"/>
      <c r="P81" s="24" t="inlineStr">
        <is>
          <t>Not scheduled</t>
        </is>
      </c>
      <c r="Q81" s="24" t="n"/>
      <c r="R81" s="24" t="inlineStr">
        <is>
          <t>No notification preference UI or model</t>
        </is>
      </c>
      <c r="S81" s="24" t="n"/>
      <c r="T81" s="24" t="n"/>
      <c r="U81" s="36" t="n">
        <v>46285</v>
      </c>
      <c r="V81" s="24" t="n"/>
      <c r="W81" s="15">
        <f>IF(P81="Production",IF(X81="Yes","Released","Review release"),IF(P81="Rolled back","Rolled back",IF(OR(Q81&lt;&gt;"",COUNTIFS(J81:N81,"Blocked")&gt;0),"Blocked",IF(OR(M81="Failed",N81="Rejected",AND(ISNUMBER(O81),O81&gt;0)),"Rework",IF(X81="Yes","Ready for release",IF(N81="Accepted","Verify completion",IF(OR(M81="Passed",M81="In progress",N81="In review"),"Testing / review",IF(OR(COUNTIFS(J81:L81,"In progress")&gt;0,COUNTIFS(J81:L81,"In review")&gt;0,COUNTIFS(J81:L81,"Done")&gt;0),"In progress",IF(COUNTIFS(J81:N81,"Not assessed")=5,"Not assessed","Planned")))))))))</f>
        <v/>
      </c>
      <c r="X81" s="15">
        <f>IF(AND(J81="Done",OR(K81="Done",K81="Not required"),OR(L81="Done",L81="Not required"),M81="Passed",N81="Accepted",ISNUMBER(O81),O81=0,Q81="",F81&lt;&gt;"",S81&lt;&gt;"",T81&lt;&gt;"",ISNUMBER(U81),OR(AND(K81&lt;&gt;"Not required",L81&lt;&gt;"Not required"),V81&lt;&gt;""),P81&lt;&gt;"Rolled back"),"Yes","No")</f>
        <v/>
      </c>
      <c r="Y81" s="15">
        <f>IF(X81="Yes","Completed",IF(H81="","No deadline",IF(NOT(ISNUMBER(H81)),"Check date",IF(H81&lt;Overview!$I$3,"Overdue",IF(H81&lt;=Overview!$I$3+7,"Due soon","On track")))))</f>
        <v/>
      </c>
      <c r="Z81" s="37">
        <f>IF(AND(X81&lt;&gt;"Yes",ISNUMBER(H81)),MAX(0,Overview!$I$3-H81),0)</f>
        <v/>
      </c>
      <c r="AA81" s="5" t="inlineStr">
        <is>
          <t>School Admin</t>
        </is>
      </c>
      <c r="AB81" t="inlineStr">
        <is>
          <t>-</t>
        </is>
      </c>
    </row>
    <row r="82" ht="35" customHeight="1">
      <c r="A82" s="2" t="inlineStr">
        <is>
          <t>SCR-076</t>
        </is>
      </c>
      <c r="B82" s="5" t="inlineStr">
        <is>
          <t>Parent Login Access</t>
        </is>
      </c>
      <c r="C82" s="5" t="inlineStr">
        <is>
          <t>Parents &amp; Guardians</t>
        </is>
      </c>
      <c r="D82" s="2" t="inlineStr">
        <is>
          <t>Phase 2</t>
        </is>
      </c>
      <c r="E82" s="2" t="inlineStr">
        <is>
          <t>US-0151, US-0152</t>
        </is>
      </c>
      <c r="F82" s="24" t="n"/>
      <c r="G82" s="24" t="n"/>
      <c r="H82" s="32" t="n"/>
      <c r="I82" s="2" t="inlineStr">
        <is>
          <t>Ready</t>
        </is>
      </c>
      <c r="J82" s="33" t="inlineStr">
        <is>
          <t>Done</t>
        </is>
      </c>
      <c r="K82" s="33" t="inlineStr">
        <is>
          <t>Done</t>
        </is>
      </c>
      <c r="L82" s="24" t="inlineStr">
        <is>
          <t>Not assessed</t>
        </is>
      </c>
      <c r="M82" s="24" t="inlineStr">
        <is>
          <t>Not assessed</t>
        </is>
      </c>
      <c r="N82" s="24" t="inlineStr">
        <is>
          <t>Not assessed</t>
        </is>
      </c>
      <c r="O82" s="35" t="n"/>
      <c r="P82" s="24" t="inlineStr">
        <is>
          <t>Not scheduled</t>
        </is>
      </c>
      <c r="Q82" s="24" t="n"/>
      <c r="R82" s="24" t="inlineStr">
        <is>
          <t>Activate, deactivate, reset password</t>
        </is>
      </c>
      <c r="S82" s="24" t="n"/>
      <c r="T82" s="24" t="n"/>
      <c r="U82" s="36" t="n">
        <v>46285</v>
      </c>
      <c r="V82" s="24" t="n"/>
      <c r="W82" s="15">
        <f>IF(P82="Production",IF(X82="Yes","Released","Review release"),IF(P82="Rolled back","Rolled back",IF(OR(Q82&lt;&gt;"",COUNTIFS(J82:N82,"Blocked")&gt;0),"Blocked",IF(OR(M82="Failed",N82="Rejected",AND(ISNUMBER(O82),O82&gt;0)),"Rework",IF(X82="Yes","Ready for release",IF(N82="Accepted","Verify completion",IF(OR(M82="Passed",M82="In progress",N82="In review"),"Testing / review",IF(OR(COUNTIFS(J82:L82,"In progress")&gt;0,COUNTIFS(J82:L82,"In review")&gt;0,COUNTIFS(J82:L82,"Done")&gt;0),"In progress",IF(COUNTIFS(J82:N82,"Not assessed")=5,"Not assessed","Planned")))))))))</f>
        <v/>
      </c>
      <c r="X82" s="15">
        <f>IF(AND(J82="Done",OR(K82="Done",K82="Not required"),OR(L82="Done",L82="Not required"),M82="Passed",N82="Accepted",ISNUMBER(O82),O82=0,Q82="",F82&lt;&gt;"",S82&lt;&gt;"",T82&lt;&gt;"",ISNUMBER(U82),OR(AND(K82&lt;&gt;"Not required",L82&lt;&gt;"Not required"),V82&lt;&gt;""),P82&lt;&gt;"Rolled back"),"Yes","No")</f>
        <v/>
      </c>
      <c r="Y82" s="15">
        <f>IF(X82="Yes","Completed",IF(H82="","No deadline",IF(NOT(ISNUMBER(H82)),"Check date",IF(H82&lt;Overview!$I$3,"Overdue",IF(H82&lt;=Overview!$I$3+7,"Due soon","On track")))))</f>
        <v/>
      </c>
      <c r="Z82" s="37">
        <f>IF(AND(X82&lt;&gt;"Yes",ISNUMBER(H82)),MAX(0,Overview!$I$3-H82),0)</f>
        <v/>
      </c>
      <c r="AA82" s="5" t="inlineStr">
        <is>
          <t>School Admin</t>
        </is>
      </c>
      <c r="AB82" t="inlineStr">
        <is>
          <t>/school/parents</t>
        </is>
      </c>
    </row>
    <row r="83" ht="35" customHeight="1">
      <c r="A83" s="2" t="inlineStr">
        <is>
          <t>SCR-077</t>
        </is>
      </c>
      <c r="B83" s="5" t="inlineStr">
        <is>
          <t>Parent-Teacher Interactions</t>
        </is>
      </c>
      <c r="C83" s="5" t="inlineStr">
        <is>
          <t>Parents &amp; Guardians</t>
        </is>
      </c>
      <c r="D83" s="2" t="inlineStr">
        <is>
          <t>Phase 3</t>
        </is>
      </c>
      <c r="E83" s="2" t="inlineStr">
        <is>
          <t>US-0153, US-0154</t>
        </is>
      </c>
      <c r="F83" s="24" t="n"/>
      <c r="G83" s="24" t="n"/>
      <c r="H83" s="32" t="n"/>
      <c r="I83" s="2" t="inlineStr">
        <is>
          <t>Ready</t>
        </is>
      </c>
      <c r="J83" s="38" t="inlineStr">
        <is>
          <t>In progress</t>
        </is>
      </c>
      <c r="K83" s="38" t="inlineStr">
        <is>
          <t>In progress</t>
        </is>
      </c>
      <c r="L83" s="24" t="inlineStr">
        <is>
          <t>Not assessed</t>
        </is>
      </c>
      <c r="M83" s="24" t="inlineStr">
        <is>
          <t>Not assessed</t>
        </is>
      </c>
      <c r="N83" s="24" t="inlineStr">
        <is>
          <t>Not assessed</t>
        </is>
      </c>
      <c r="O83" s="35" t="n"/>
      <c r="P83" s="24" t="inlineStr">
        <is>
          <t>Not scheduled</t>
        </is>
      </c>
      <c r="Q83" s="24" t="n"/>
      <c r="R83" s="24" t="inlineStr">
        <is>
          <t>Meetings and slots; messages are teacher-only</t>
        </is>
      </c>
      <c r="S83" s="24" t="n"/>
      <c r="T83" s="24" t="n"/>
      <c r="U83" s="36" t="n">
        <v>46285</v>
      </c>
      <c r="V83" s="24" t="n"/>
      <c r="W83" s="15">
        <f>IF(P83="Production",IF(X83="Yes","Released","Review release"),IF(P83="Rolled back","Rolled back",IF(OR(Q83&lt;&gt;"",COUNTIFS(J83:N83,"Blocked")&gt;0),"Blocked",IF(OR(M83="Failed",N83="Rejected",AND(ISNUMBER(O83),O83&gt;0)),"Rework",IF(X83="Yes","Ready for release",IF(N83="Accepted","Verify completion",IF(OR(M83="Passed",M83="In progress",N83="In review"),"Testing / review",IF(OR(COUNTIFS(J83:L83,"In progress")&gt;0,COUNTIFS(J83:L83,"In review")&gt;0,COUNTIFS(J83:L83,"Done")&gt;0),"In progress",IF(COUNTIFS(J83:N83,"Not assessed")=5,"Not assessed","Planned")))))))))</f>
        <v/>
      </c>
      <c r="X83" s="15">
        <f>IF(AND(J83="Done",OR(K83="Done",K83="Not required"),OR(L83="Done",L83="Not required"),M83="Passed",N83="Accepted",ISNUMBER(O83),O83=0,Q83="",F83&lt;&gt;"",S83&lt;&gt;"",T83&lt;&gt;"",ISNUMBER(U83),OR(AND(K83&lt;&gt;"Not required",L83&lt;&gt;"Not required"),V83&lt;&gt;""),P83&lt;&gt;"Rolled back"),"Yes","No")</f>
        <v/>
      </c>
      <c r="Y83" s="15">
        <f>IF(X83="Yes","Completed",IF(H83="","No deadline",IF(NOT(ISNUMBER(H83)),"Check date",IF(H83&lt;Overview!$I$3,"Overdue",IF(H83&lt;=Overview!$I$3+7,"Due soon","On track")))))</f>
        <v/>
      </c>
      <c r="Z83" s="37">
        <f>IF(AND(X83&lt;&gt;"Yes",ISNUMBER(H83)),MAX(0,Overview!$I$3-H83),0)</f>
        <v/>
      </c>
      <c r="AA83" s="5" t="inlineStr">
        <is>
          <t>School Admin</t>
        </is>
      </c>
      <c r="AB83" t="inlineStr">
        <is>
          <t>/school/ptm</t>
        </is>
      </c>
    </row>
    <row r="84" ht="35" customHeight="1">
      <c r="A84" s="2" t="inlineStr">
        <is>
          <t>SCR-078</t>
        </is>
      </c>
      <c r="B84" s="5" t="inlineStr">
        <is>
          <t>Parent Payments &amp; Receipts</t>
        </is>
      </c>
      <c r="C84" s="5" t="inlineStr">
        <is>
          <t>Parents &amp; Guardians</t>
        </is>
      </c>
      <c r="D84" s="2" t="inlineStr">
        <is>
          <t>Phase 3</t>
        </is>
      </c>
      <c r="E84" s="2" t="inlineStr">
        <is>
          <t>US-0155, US-0156</t>
        </is>
      </c>
      <c r="F84" s="24" t="n"/>
      <c r="G84" s="24" t="n"/>
      <c r="H84" s="32" t="n"/>
      <c r="I84" s="2" t="inlineStr">
        <is>
          <t>Ready</t>
        </is>
      </c>
      <c r="J84" s="33" t="inlineStr">
        <is>
          <t>Done</t>
        </is>
      </c>
      <c r="K84" s="33" t="inlineStr">
        <is>
          <t>Done</t>
        </is>
      </c>
      <c r="L84" s="24" t="inlineStr">
        <is>
          <t>Not assessed</t>
        </is>
      </c>
      <c r="M84" s="24" t="inlineStr">
        <is>
          <t>Not assessed</t>
        </is>
      </c>
      <c r="N84" s="24" t="inlineStr">
        <is>
          <t>Not assessed</t>
        </is>
      </c>
      <c r="O84" s="35" t="n"/>
      <c r="P84" s="24" t="inlineStr">
        <is>
          <t>Not scheduled</t>
        </is>
      </c>
      <c r="Q84" s="24" t="n"/>
      <c r="R84" s="24" t="inlineStr">
        <is>
          <t>Across all their children, not one at a time</t>
        </is>
      </c>
      <c r="S84" s="24" t="n"/>
      <c r="T84" s="24" t="n"/>
      <c r="U84" s="36" t="n">
        <v>46285</v>
      </c>
      <c r="V84" s="24" t="n"/>
      <c r="W84" s="15">
        <f>IF(P84="Production",IF(X84="Yes","Released","Review release"),IF(P84="Rolled back","Rolled back",IF(OR(Q84&lt;&gt;"",COUNTIFS(J84:N84,"Blocked")&gt;0),"Blocked",IF(OR(M84="Failed",N84="Rejected",AND(ISNUMBER(O84),O84&gt;0)),"Rework",IF(X84="Yes","Ready for release",IF(N84="Accepted","Verify completion",IF(OR(M84="Passed",M84="In progress",N84="In review"),"Testing / review",IF(OR(COUNTIFS(J84:L84,"In progress")&gt;0,COUNTIFS(J84:L84,"In review")&gt;0,COUNTIFS(J84:L84,"Done")&gt;0),"In progress",IF(COUNTIFS(J84:N84,"Not assessed")=5,"Not assessed","Planned")))))))))</f>
        <v/>
      </c>
      <c r="X84" s="15">
        <f>IF(AND(J84="Done",OR(K84="Done",K84="Not required"),OR(L84="Done",L84="Not required"),M84="Passed",N84="Accepted",ISNUMBER(O84),O84=0,Q84="",F84&lt;&gt;"",S84&lt;&gt;"",T84&lt;&gt;"",ISNUMBER(U84),OR(AND(K84&lt;&gt;"Not required",L84&lt;&gt;"Not required"),V84&lt;&gt;""),P84&lt;&gt;"Rolled back"),"Yes","No")</f>
        <v/>
      </c>
      <c r="Y84" s="15">
        <f>IF(X84="Yes","Completed",IF(H84="","No deadline",IF(NOT(ISNUMBER(H84)),"Check date",IF(H84&lt;Overview!$I$3,"Overdue",IF(H84&lt;=Overview!$I$3+7,"Due soon","On track")))))</f>
        <v/>
      </c>
      <c r="Z84" s="37">
        <f>IF(AND(X84&lt;&gt;"Yes",ISNUMBER(H84)),MAX(0,Overview!$I$3-H84),0)</f>
        <v/>
      </c>
      <c r="AA84" s="5" t="inlineStr">
        <is>
          <t>School Admin</t>
        </is>
      </c>
      <c r="AB84" t="inlineStr">
        <is>
          <t>/school/parents/[id]/payments</t>
        </is>
      </c>
    </row>
    <row r="85" ht="35" customHeight="1">
      <c r="A85" s="2" t="inlineStr">
        <is>
          <t>SCR-079</t>
        </is>
      </c>
      <c r="B85" s="5" t="inlineStr">
        <is>
          <t>Parent Activity History</t>
        </is>
      </c>
      <c r="C85" s="5" t="inlineStr">
        <is>
          <t>Parents &amp; Guardians</t>
        </is>
      </c>
      <c r="D85" s="2" t="inlineStr">
        <is>
          <t>Phase 3</t>
        </is>
      </c>
      <c r="E85" s="2" t="inlineStr">
        <is>
          <t>US-0157, US-0158</t>
        </is>
      </c>
      <c r="F85" s="24" t="n"/>
      <c r="G85" s="24" t="n"/>
      <c r="H85" s="32" t="n"/>
      <c r="I85" s="2" t="inlineStr">
        <is>
          <t>Ready</t>
        </is>
      </c>
      <c r="J85" s="33" t="inlineStr">
        <is>
          <t>Done</t>
        </is>
      </c>
      <c r="K85" s="33" t="inlineStr">
        <is>
          <t>Done</t>
        </is>
      </c>
      <c r="L85" s="24" t="inlineStr">
        <is>
          <t>Not assessed</t>
        </is>
      </c>
      <c r="M85" s="24" t="inlineStr">
        <is>
          <t>Not assessed</t>
        </is>
      </c>
      <c r="N85" s="24" t="inlineStr">
        <is>
          <t>Not assessed</t>
        </is>
      </c>
      <c r="O85" s="35" t="n"/>
      <c r="P85" s="24" t="inlineStr">
        <is>
          <t>Not scheduled</t>
        </is>
      </c>
      <c r="Q85" s="24" t="n"/>
      <c r="R85" s="24" t="inlineStr">
        <is>
          <t>Audit by actor and by subject, sign-ins stated as unrecorded</t>
        </is>
      </c>
      <c r="S85" s="24" t="n"/>
      <c r="T85" s="24" t="n"/>
      <c r="U85" s="36" t="n">
        <v>46285</v>
      </c>
      <c r="V85" s="24" t="n"/>
      <c r="W85" s="15">
        <f>IF(P85="Production",IF(X85="Yes","Released","Review release"),IF(P85="Rolled back","Rolled back",IF(OR(Q85&lt;&gt;"",COUNTIFS(J85:N85,"Blocked")&gt;0),"Blocked",IF(OR(M85="Failed",N85="Rejected",AND(ISNUMBER(O85),O85&gt;0)),"Rework",IF(X85="Yes","Ready for release",IF(N85="Accepted","Verify completion",IF(OR(M85="Passed",M85="In progress",N85="In review"),"Testing / review",IF(OR(COUNTIFS(J85:L85,"In progress")&gt;0,COUNTIFS(J85:L85,"In review")&gt;0,COUNTIFS(J85:L85,"Done")&gt;0),"In progress",IF(COUNTIFS(J85:N85,"Not assessed")=5,"Not assessed","Planned")))))))))</f>
        <v/>
      </c>
      <c r="X85" s="15">
        <f>IF(AND(J85="Done",OR(K85="Done",K85="Not required"),OR(L85="Done",L85="Not required"),M85="Passed",N85="Accepted",ISNUMBER(O85),O85=0,Q85="",F85&lt;&gt;"",S85&lt;&gt;"",T85&lt;&gt;"",ISNUMBER(U85),OR(AND(K85&lt;&gt;"Not required",L85&lt;&gt;"Not required"),V85&lt;&gt;""),P85&lt;&gt;"Rolled back"),"Yes","No")</f>
        <v/>
      </c>
      <c r="Y85" s="15">
        <f>IF(X85="Yes","Completed",IF(H85="","No deadline",IF(NOT(ISNUMBER(H85)),"Check date",IF(H85&lt;Overview!$I$3,"Overdue",IF(H85&lt;=Overview!$I$3+7,"Due soon","On track")))))</f>
        <v/>
      </c>
      <c r="Z85" s="37">
        <f>IF(AND(X85&lt;&gt;"Yes",ISNUMBER(H85)),MAX(0,Overview!$I$3-H85),0)</f>
        <v/>
      </c>
      <c r="AA85" s="5" t="inlineStr">
        <is>
          <t>School Admin</t>
        </is>
      </c>
      <c r="AB85" t="inlineStr">
        <is>
          <t>/school/parents/[id]/activity</t>
        </is>
      </c>
    </row>
    <row r="86" ht="35" customHeight="1">
      <c r="A86" s="2" t="inlineStr">
        <is>
          <t>SCR-080</t>
        </is>
      </c>
      <c r="B86" s="5" t="inlineStr">
        <is>
          <t>Staff Directory</t>
        </is>
      </c>
      <c r="C86" s="5" t="inlineStr">
        <is>
          <t>Teachers &amp; Staff</t>
        </is>
      </c>
      <c r="D86" s="2" t="inlineStr">
        <is>
          <t>MVP</t>
        </is>
      </c>
      <c r="E86" s="2" t="inlineStr">
        <is>
          <t>US-0159, US-0160</t>
        </is>
      </c>
      <c r="F86" s="24" t="n"/>
      <c r="G86" s="24" t="n"/>
      <c r="H86" s="32" t="n"/>
      <c r="I86" s="2" t="inlineStr">
        <is>
          <t>Ready</t>
        </is>
      </c>
      <c r="J86" s="33" t="inlineStr">
        <is>
          <t>Done</t>
        </is>
      </c>
      <c r="K86" s="33" t="inlineStr">
        <is>
          <t>Done</t>
        </is>
      </c>
      <c r="L86" s="24" t="inlineStr">
        <is>
          <t>Not assessed</t>
        </is>
      </c>
      <c r="M86" s="24" t="inlineStr">
        <is>
          <t>Not assessed</t>
        </is>
      </c>
      <c r="N86" s="24" t="inlineStr">
        <is>
          <t>Not assessed</t>
        </is>
      </c>
      <c r="O86" s="35" t="n"/>
      <c r="P86" s="24" t="inlineStr">
        <is>
          <t>Not scheduled</t>
        </is>
      </c>
      <c r="Q86" s="24" t="n"/>
      <c r="R86" s="24" t="inlineStr">
        <is>
          <t>Role and status filters with search</t>
        </is>
      </c>
      <c r="S86" s="24" t="n"/>
      <c r="T86" s="24" t="n"/>
      <c r="U86" s="36" t="n">
        <v>46285</v>
      </c>
      <c r="V86" s="24" t="n"/>
      <c r="W86" s="15">
        <f>IF(P86="Production",IF(X86="Yes","Released","Review release"),IF(P86="Rolled back","Rolled back",IF(OR(Q86&lt;&gt;"",COUNTIFS(J86:N86,"Blocked")&gt;0),"Blocked",IF(OR(M86="Failed",N86="Rejected",AND(ISNUMBER(O86),O86&gt;0)),"Rework",IF(X86="Yes","Ready for release",IF(N86="Accepted","Verify completion",IF(OR(M86="Passed",M86="In progress",N86="In review"),"Testing / review",IF(OR(COUNTIFS(J86:L86,"In progress")&gt;0,COUNTIFS(J86:L86,"In review")&gt;0,COUNTIFS(J86:L86,"Done")&gt;0),"In progress",IF(COUNTIFS(J86:N86,"Not assessed")=5,"Not assessed","Planned")))))))))</f>
        <v/>
      </c>
      <c r="X86" s="15">
        <f>IF(AND(J86="Done",OR(K86="Done",K86="Not required"),OR(L86="Done",L86="Not required"),M86="Passed",N86="Accepted",ISNUMBER(O86),O86=0,Q86="",F86&lt;&gt;"",S86&lt;&gt;"",T86&lt;&gt;"",ISNUMBER(U86),OR(AND(K86&lt;&gt;"Not required",L86&lt;&gt;"Not required"),V86&lt;&gt;""),P86&lt;&gt;"Rolled back"),"Yes","No")</f>
        <v/>
      </c>
      <c r="Y86" s="15">
        <f>IF(X86="Yes","Completed",IF(H86="","No deadline",IF(NOT(ISNUMBER(H86)),"Check date",IF(H86&lt;Overview!$I$3,"Overdue",IF(H86&lt;=Overview!$I$3+7,"Due soon","On track")))))</f>
        <v/>
      </c>
      <c r="Z86" s="37">
        <f>IF(AND(X86&lt;&gt;"Yes",ISNUMBER(H86)),MAX(0,Overview!$I$3-H86),0)</f>
        <v/>
      </c>
      <c r="AA86" s="5" t="inlineStr">
        <is>
          <t>School Admin</t>
        </is>
      </c>
      <c r="AB86" t="inlineStr">
        <is>
          <t>/school/staff</t>
        </is>
      </c>
    </row>
    <row r="87" ht="35" customHeight="1">
      <c r="A87" s="2" t="inlineStr">
        <is>
          <t>SCR-081</t>
        </is>
      </c>
      <c r="B87" s="5" t="inlineStr">
        <is>
          <t>Add Staff</t>
        </is>
      </c>
      <c r="C87" s="5" t="inlineStr">
        <is>
          <t>Teachers &amp; Staff</t>
        </is>
      </c>
      <c r="D87" s="2" t="inlineStr">
        <is>
          <t>MVP</t>
        </is>
      </c>
      <c r="E87" s="2" t="inlineStr">
        <is>
          <t>US-0161, US-0162</t>
        </is>
      </c>
      <c r="F87" s="24" t="n"/>
      <c r="G87" s="24" t="n"/>
      <c r="H87" s="32" t="n"/>
      <c r="I87" s="2" t="inlineStr">
        <is>
          <t>Ready</t>
        </is>
      </c>
      <c r="J87" s="33" t="inlineStr">
        <is>
          <t>Done</t>
        </is>
      </c>
      <c r="K87" s="33" t="inlineStr">
        <is>
          <t>Done</t>
        </is>
      </c>
      <c r="L87" s="24" t="inlineStr">
        <is>
          <t>Not assessed</t>
        </is>
      </c>
      <c r="M87" s="24" t="inlineStr">
        <is>
          <t>Not assessed</t>
        </is>
      </c>
      <c r="N87" s="24" t="inlineStr">
        <is>
          <t>Not assessed</t>
        </is>
      </c>
      <c r="O87" s="35" t="n"/>
      <c r="P87" s="24" t="inlineStr">
        <is>
          <t>Not scheduled</t>
        </is>
      </c>
      <c r="Q87" s="24" t="n"/>
      <c r="R87" s="24" t="inlineStr">
        <is>
          <t>Creates staff and login with temp password</t>
        </is>
      </c>
      <c r="S87" s="24" t="n"/>
      <c r="T87" s="24" t="n"/>
      <c r="U87" s="36" t="n">
        <v>46285</v>
      </c>
      <c r="V87" s="24" t="n"/>
      <c r="W87" s="15">
        <f>IF(P87="Production",IF(X87="Yes","Released","Review release"),IF(P87="Rolled back","Rolled back",IF(OR(Q87&lt;&gt;"",COUNTIFS(J87:N87,"Blocked")&gt;0),"Blocked",IF(OR(M87="Failed",N87="Rejected",AND(ISNUMBER(O87),O87&gt;0)),"Rework",IF(X87="Yes","Ready for release",IF(N87="Accepted","Verify completion",IF(OR(M87="Passed",M87="In progress",N87="In review"),"Testing / review",IF(OR(COUNTIFS(J87:L87,"In progress")&gt;0,COUNTIFS(J87:L87,"In review")&gt;0,COUNTIFS(J87:L87,"Done")&gt;0),"In progress",IF(COUNTIFS(J87:N87,"Not assessed")=5,"Not assessed","Planned")))))))))</f>
        <v/>
      </c>
      <c r="X87" s="15">
        <f>IF(AND(J87="Done",OR(K87="Done",K87="Not required"),OR(L87="Done",L87="Not required"),M87="Passed",N87="Accepted",ISNUMBER(O87),O87=0,Q87="",F87&lt;&gt;"",S87&lt;&gt;"",T87&lt;&gt;"",ISNUMBER(U87),OR(AND(K87&lt;&gt;"Not required",L87&lt;&gt;"Not required"),V87&lt;&gt;""),P87&lt;&gt;"Rolled back"),"Yes","No")</f>
        <v/>
      </c>
      <c r="Y87" s="15">
        <f>IF(X87="Yes","Completed",IF(H87="","No deadline",IF(NOT(ISNUMBER(H87)),"Check date",IF(H87&lt;Overview!$I$3,"Overdue",IF(H87&lt;=Overview!$I$3+7,"Due soon","On track")))))</f>
        <v/>
      </c>
      <c r="Z87" s="37">
        <f>IF(AND(X87&lt;&gt;"Yes",ISNUMBER(H87)),MAX(0,Overview!$I$3-H87),0)</f>
        <v/>
      </c>
      <c r="AA87" s="5" t="inlineStr">
        <is>
          <t>School Admin</t>
        </is>
      </c>
      <c r="AB87" t="inlineStr">
        <is>
          <t>/school/staff</t>
        </is>
      </c>
    </row>
    <row r="88" ht="35" customHeight="1">
      <c r="A88" s="2" t="inlineStr">
        <is>
          <t>SCR-082</t>
        </is>
      </c>
      <c r="B88" s="5" t="inlineStr">
        <is>
          <t>Staff Profile</t>
        </is>
      </c>
      <c r="C88" s="5" t="inlineStr">
        <is>
          <t>Teachers &amp; Staff</t>
        </is>
      </c>
      <c r="D88" s="2" t="inlineStr">
        <is>
          <t>MVP</t>
        </is>
      </c>
      <c r="E88" s="2" t="inlineStr">
        <is>
          <t>US-0163, US-0164</t>
        </is>
      </c>
      <c r="F88" s="24" t="n"/>
      <c r="G88" s="24" t="n"/>
      <c r="H88" s="32" t="n"/>
      <c r="I88" s="2" t="inlineStr">
        <is>
          <t>Ready</t>
        </is>
      </c>
      <c r="J88" s="38" t="inlineStr">
        <is>
          <t>In progress</t>
        </is>
      </c>
      <c r="K88" s="33" t="inlineStr">
        <is>
          <t>Done</t>
        </is>
      </c>
      <c r="L88" s="24" t="inlineStr">
        <is>
          <t>Not assessed</t>
        </is>
      </c>
      <c r="M88" s="24" t="inlineStr">
        <is>
          <t>Not assessed</t>
        </is>
      </c>
      <c r="N88" s="24" t="inlineStr">
        <is>
          <t>Not assessed</t>
        </is>
      </c>
      <c r="O88" s="35" t="n"/>
      <c r="P88" s="24" t="inlineStr">
        <is>
          <t>Not scheduled</t>
        </is>
      </c>
      <c r="Q88" s="24" t="n"/>
      <c r="R88" s="24" t="inlineStr">
        <is>
          <t>No staff profile page, only a row and modal</t>
        </is>
      </c>
      <c r="S88" s="24" t="n"/>
      <c r="T88" s="24" t="n"/>
      <c r="U88" s="36" t="n">
        <v>46285</v>
      </c>
      <c r="V88" s="24" t="n"/>
      <c r="W88" s="15">
        <f>IF(P88="Production",IF(X88="Yes","Released","Review release"),IF(P88="Rolled back","Rolled back",IF(OR(Q88&lt;&gt;"",COUNTIFS(J88:N88,"Blocked")&gt;0),"Blocked",IF(OR(M88="Failed",N88="Rejected",AND(ISNUMBER(O88),O88&gt;0)),"Rework",IF(X88="Yes","Ready for release",IF(N88="Accepted","Verify completion",IF(OR(M88="Passed",M88="In progress",N88="In review"),"Testing / review",IF(OR(COUNTIFS(J88:L88,"In progress")&gt;0,COUNTIFS(J88:L88,"In review")&gt;0,COUNTIFS(J88:L88,"Done")&gt;0),"In progress",IF(COUNTIFS(J88:N88,"Not assessed")=5,"Not assessed","Planned")))))))))</f>
        <v/>
      </c>
      <c r="X88" s="15">
        <f>IF(AND(J88="Done",OR(K88="Done",K88="Not required"),OR(L88="Done",L88="Not required"),M88="Passed",N88="Accepted",ISNUMBER(O88),O88=0,Q88="",F88&lt;&gt;"",S88&lt;&gt;"",T88&lt;&gt;"",ISNUMBER(U88),OR(AND(K88&lt;&gt;"Not required",L88&lt;&gt;"Not required"),V88&lt;&gt;""),P88&lt;&gt;"Rolled back"),"Yes","No")</f>
        <v/>
      </c>
      <c r="Y88" s="15">
        <f>IF(X88="Yes","Completed",IF(H88="","No deadline",IF(NOT(ISNUMBER(H88)),"Check date",IF(H88&lt;Overview!$I$3,"Overdue",IF(H88&lt;=Overview!$I$3+7,"Due soon","On track")))))</f>
        <v/>
      </c>
      <c r="Z88" s="37">
        <f>IF(AND(X88&lt;&gt;"Yes",ISNUMBER(H88)),MAX(0,Overview!$I$3-H88),0)</f>
        <v/>
      </c>
      <c r="AA88" s="5" t="inlineStr">
        <is>
          <t>School Admin</t>
        </is>
      </c>
      <c r="AB88" t="inlineStr">
        <is>
          <t>/school/staff</t>
        </is>
      </c>
    </row>
    <row r="89" ht="35" customHeight="1">
      <c r="A89" s="2" t="inlineStr">
        <is>
          <t>SCR-083</t>
        </is>
      </c>
      <c r="B89" s="5" t="inlineStr">
        <is>
          <t>Edit Staff</t>
        </is>
      </c>
      <c r="C89" s="5" t="inlineStr">
        <is>
          <t>Teachers &amp; Staff</t>
        </is>
      </c>
      <c r="D89" s="2" t="inlineStr">
        <is>
          <t>MVP</t>
        </is>
      </c>
      <c r="E89" s="2" t="inlineStr">
        <is>
          <t>US-0165, US-0166</t>
        </is>
      </c>
      <c r="F89" s="24" t="n"/>
      <c r="G89" s="24" t="n"/>
      <c r="H89" s="32" t="n"/>
      <c r="I89" s="2" t="inlineStr">
        <is>
          <t>Ready</t>
        </is>
      </c>
      <c r="J89" s="33" t="inlineStr">
        <is>
          <t>Done</t>
        </is>
      </c>
      <c r="K89" s="33" t="inlineStr">
        <is>
          <t>Done</t>
        </is>
      </c>
      <c r="L89" s="24" t="inlineStr">
        <is>
          <t>Not assessed</t>
        </is>
      </c>
      <c r="M89" s="24" t="inlineStr">
        <is>
          <t>Not assessed</t>
        </is>
      </c>
      <c r="N89" s="24" t="inlineStr">
        <is>
          <t>Not assessed</t>
        </is>
      </c>
      <c r="O89" s="35" t="n"/>
      <c r="P89" s="24" t="inlineStr">
        <is>
          <t>Not scheduled</t>
        </is>
      </c>
      <c r="Q89" s="24" t="n"/>
      <c r="R89" s="24" t="inlineStr">
        <is>
          <t>Name, phone, number, designation, department</t>
        </is>
      </c>
      <c r="S89" s="24" t="n"/>
      <c r="T89" s="24" t="n"/>
      <c r="U89" s="36" t="n">
        <v>46285</v>
      </c>
      <c r="V89" s="24" t="n"/>
      <c r="W89" s="15">
        <f>IF(P89="Production",IF(X89="Yes","Released","Review release"),IF(P89="Rolled back","Rolled back",IF(OR(Q89&lt;&gt;"",COUNTIFS(J89:N89,"Blocked")&gt;0),"Blocked",IF(OR(M89="Failed",N89="Rejected",AND(ISNUMBER(O89),O89&gt;0)),"Rework",IF(X89="Yes","Ready for release",IF(N89="Accepted","Verify completion",IF(OR(M89="Passed",M89="In progress",N89="In review"),"Testing / review",IF(OR(COUNTIFS(J89:L89,"In progress")&gt;0,COUNTIFS(J89:L89,"In review")&gt;0,COUNTIFS(J89:L89,"Done")&gt;0),"In progress",IF(COUNTIFS(J89:N89,"Not assessed")=5,"Not assessed","Planned")))))))))</f>
        <v/>
      </c>
      <c r="X89" s="15">
        <f>IF(AND(J89="Done",OR(K89="Done",K89="Not required"),OR(L89="Done",L89="Not required"),M89="Passed",N89="Accepted",ISNUMBER(O89),O89=0,Q89="",F89&lt;&gt;"",S89&lt;&gt;"",T89&lt;&gt;"",ISNUMBER(U89),OR(AND(K89&lt;&gt;"Not required",L89&lt;&gt;"Not required"),V89&lt;&gt;""),P89&lt;&gt;"Rolled back"),"Yes","No")</f>
        <v/>
      </c>
      <c r="Y89" s="15">
        <f>IF(X89="Yes","Completed",IF(H89="","No deadline",IF(NOT(ISNUMBER(H89)),"Check date",IF(H89&lt;Overview!$I$3,"Overdue",IF(H89&lt;=Overview!$I$3+7,"Due soon","On track")))))</f>
        <v/>
      </c>
      <c r="Z89" s="37">
        <f>IF(AND(X89&lt;&gt;"Yes",ISNUMBER(H89)),MAX(0,Overview!$I$3-H89),0)</f>
        <v/>
      </c>
      <c r="AA89" s="5" t="inlineStr">
        <is>
          <t>School Admin</t>
        </is>
      </c>
      <c r="AB89" t="inlineStr">
        <is>
          <t>/school/staff</t>
        </is>
      </c>
    </row>
    <row r="90" ht="35" customHeight="1">
      <c r="A90" s="2" t="inlineStr">
        <is>
          <t>SCR-084</t>
        </is>
      </c>
      <c r="B90" s="5" t="inlineStr">
        <is>
          <t>Teacher Allocation</t>
        </is>
      </c>
      <c r="C90" s="5" t="inlineStr">
        <is>
          <t>Teachers &amp; Staff</t>
        </is>
      </c>
      <c r="D90" s="2" t="inlineStr">
        <is>
          <t>MVP</t>
        </is>
      </c>
      <c r="E90" s="2" t="inlineStr">
        <is>
          <t>US-0167, US-0168</t>
        </is>
      </c>
      <c r="F90" s="24" t="n"/>
      <c r="G90" s="24" t="n"/>
      <c r="H90" s="32" t="n"/>
      <c r="I90" s="2" t="inlineStr">
        <is>
          <t>Ready</t>
        </is>
      </c>
      <c r="J90" s="33" t="inlineStr">
        <is>
          <t>Done</t>
        </is>
      </c>
      <c r="K90" s="33" t="inlineStr">
        <is>
          <t>Done</t>
        </is>
      </c>
      <c r="L90" s="24" t="inlineStr">
        <is>
          <t>Not assessed</t>
        </is>
      </c>
      <c r="M90" s="24" t="inlineStr">
        <is>
          <t>Not assessed</t>
        </is>
      </c>
      <c r="N90" s="24" t="inlineStr">
        <is>
          <t>Not assessed</t>
        </is>
      </c>
      <c r="O90" s="35" t="n"/>
      <c r="P90" s="24" t="inlineStr">
        <is>
          <t>Not scheduled</t>
        </is>
      </c>
      <c r="Q90" s="24" t="n"/>
      <c r="R90" s="24" t="inlineStr">
        <is>
          <t>Class teacher plus subject teacher per class</t>
        </is>
      </c>
      <c r="S90" s="24" t="n"/>
      <c r="T90" s="24" t="n"/>
      <c r="U90" s="36" t="n">
        <v>46285</v>
      </c>
      <c r="V90" s="24" t="n"/>
      <c r="W90" s="15">
        <f>IF(P90="Production",IF(X90="Yes","Released","Review release"),IF(P90="Rolled back","Rolled back",IF(OR(Q90&lt;&gt;"",COUNTIFS(J90:N90,"Blocked")&gt;0),"Blocked",IF(OR(M90="Failed",N90="Rejected",AND(ISNUMBER(O90),O90&gt;0)),"Rework",IF(X90="Yes","Ready for release",IF(N90="Accepted","Verify completion",IF(OR(M90="Passed",M90="In progress",N90="In review"),"Testing / review",IF(OR(COUNTIFS(J90:L90,"In progress")&gt;0,COUNTIFS(J90:L90,"In review")&gt;0,COUNTIFS(J90:L90,"Done")&gt;0),"In progress",IF(COUNTIFS(J90:N90,"Not assessed")=5,"Not assessed","Planned")))))))))</f>
        <v/>
      </c>
      <c r="X90" s="15">
        <f>IF(AND(J90="Done",OR(K90="Done",K90="Not required"),OR(L90="Done",L90="Not required"),M90="Passed",N90="Accepted",ISNUMBER(O90),O90=0,Q90="",F90&lt;&gt;"",S90&lt;&gt;"",T90&lt;&gt;"",ISNUMBER(U90),OR(AND(K90&lt;&gt;"Not required",L90&lt;&gt;"Not required"),V90&lt;&gt;""),P90&lt;&gt;"Rolled back"),"Yes","No")</f>
        <v/>
      </c>
      <c r="Y90" s="15">
        <f>IF(X90="Yes","Completed",IF(H90="","No deadline",IF(NOT(ISNUMBER(H90)),"Check date",IF(H90&lt;Overview!$I$3,"Overdue",IF(H90&lt;=Overview!$I$3+7,"Due soon","On track")))))</f>
        <v/>
      </c>
      <c r="Z90" s="37">
        <f>IF(AND(X90&lt;&gt;"Yes",ISNUMBER(H90)),MAX(0,Overview!$I$3-H90),0)</f>
        <v/>
      </c>
      <c r="AA90" s="5" t="inlineStr">
        <is>
          <t>School Admin</t>
        </is>
      </c>
      <c r="AB90" t="inlineStr">
        <is>
          <t>/school/classes</t>
        </is>
      </c>
    </row>
    <row r="91" ht="35" customHeight="1">
      <c r="A91" s="2" t="inlineStr">
        <is>
          <t>SCR-085</t>
        </is>
      </c>
      <c r="B91" s="5" t="inlineStr">
        <is>
          <t>Subject &amp; Class Assignment</t>
        </is>
      </c>
      <c r="C91" s="5" t="inlineStr">
        <is>
          <t>Teachers &amp; Staff</t>
        </is>
      </c>
      <c r="D91" s="2" t="inlineStr">
        <is>
          <t>MVP</t>
        </is>
      </c>
      <c r="E91" s="2" t="inlineStr">
        <is>
          <t>US-0169, US-0170</t>
        </is>
      </c>
      <c r="F91" s="24" t="n"/>
      <c r="G91" s="24" t="n"/>
      <c r="H91" s="32" t="n"/>
      <c r="I91" s="2" t="inlineStr">
        <is>
          <t>Ready</t>
        </is>
      </c>
      <c r="J91" s="33" t="inlineStr">
        <is>
          <t>Done</t>
        </is>
      </c>
      <c r="K91" s="33" t="inlineStr">
        <is>
          <t>Done</t>
        </is>
      </c>
      <c r="L91" s="24" t="inlineStr">
        <is>
          <t>Not assessed</t>
        </is>
      </c>
      <c r="M91" s="24" t="inlineStr">
        <is>
          <t>Not assessed</t>
        </is>
      </c>
      <c r="N91" s="24" t="inlineStr">
        <is>
          <t>Not assessed</t>
        </is>
      </c>
      <c r="O91" s="35" t="n"/>
      <c r="P91" s="24" t="inlineStr">
        <is>
          <t>Not scheduled</t>
        </is>
      </c>
      <c r="Q91" s="24" t="n"/>
      <c r="R91" s="24" t="inlineStr">
        <is>
          <t>Assign subjects and teacher per class-subject</t>
        </is>
      </c>
      <c r="S91" s="24" t="n"/>
      <c r="T91" s="24" t="n"/>
      <c r="U91" s="36" t="n">
        <v>46285</v>
      </c>
      <c r="V91" s="24" t="n"/>
      <c r="W91" s="15">
        <f>IF(P91="Production",IF(X91="Yes","Released","Review release"),IF(P91="Rolled back","Rolled back",IF(OR(Q91&lt;&gt;"",COUNTIFS(J91:N91,"Blocked")&gt;0),"Blocked",IF(OR(M91="Failed",N91="Rejected",AND(ISNUMBER(O91),O91&gt;0)),"Rework",IF(X91="Yes","Ready for release",IF(N91="Accepted","Verify completion",IF(OR(M91="Passed",M91="In progress",N91="In review"),"Testing / review",IF(OR(COUNTIFS(J91:L91,"In progress")&gt;0,COUNTIFS(J91:L91,"In review")&gt;0,COUNTIFS(J91:L91,"Done")&gt;0),"In progress",IF(COUNTIFS(J91:N91,"Not assessed")=5,"Not assessed","Planned")))))))))</f>
        <v/>
      </c>
      <c r="X91" s="15">
        <f>IF(AND(J91="Done",OR(K91="Done",K91="Not required"),OR(L91="Done",L91="Not required"),M91="Passed",N91="Accepted",ISNUMBER(O91),O91=0,Q91="",F91&lt;&gt;"",S91&lt;&gt;"",T91&lt;&gt;"",ISNUMBER(U91),OR(AND(K91&lt;&gt;"Not required",L91&lt;&gt;"Not required"),V91&lt;&gt;""),P91&lt;&gt;"Rolled back"),"Yes","No")</f>
        <v/>
      </c>
      <c r="Y91" s="15">
        <f>IF(X91="Yes","Completed",IF(H91="","No deadline",IF(NOT(ISNUMBER(H91)),"Check date",IF(H91&lt;Overview!$I$3,"Overdue",IF(H91&lt;=Overview!$I$3+7,"Due soon","On track")))))</f>
        <v/>
      </c>
      <c r="Z91" s="37">
        <f>IF(AND(X91&lt;&gt;"Yes",ISNUMBER(H91)),MAX(0,Overview!$I$3-H91),0)</f>
        <v/>
      </c>
      <c r="AA91" s="5" t="inlineStr">
        <is>
          <t>School Admin</t>
        </is>
      </c>
      <c r="AB91" t="inlineStr">
        <is>
          <t>/school/classes</t>
        </is>
      </c>
    </row>
    <row r="92" ht="35" customHeight="1">
      <c r="A92" s="2" t="inlineStr">
        <is>
          <t>SCR-086</t>
        </is>
      </c>
      <c r="B92" s="5" t="inlineStr">
        <is>
          <t>Teacher Workload</t>
        </is>
      </c>
      <c r="C92" s="5" t="inlineStr">
        <is>
          <t>Teachers &amp; Staff</t>
        </is>
      </c>
      <c r="D92" s="2" t="inlineStr">
        <is>
          <t>Phase 2</t>
        </is>
      </c>
      <c r="E92" s="2" t="inlineStr">
        <is>
          <t>US-0171, US-0172</t>
        </is>
      </c>
      <c r="F92" s="24" t="n"/>
      <c r="G92" s="24" t="n"/>
      <c r="H92" s="32" t="n"/>
      <c r="I92" s="2" t="inlineStr">
        <is>
          <t>Ready</t>
        </is>
      </c>
      <c r="J92" s="39" t="inlineStr">
        <is>
          <t>Not started</t>
        </is>
      </c>
      <c r="K92" s="38" t="inlineStr">
        <is>
          <t>In progress</t>
        </is>
      </c>
      <c r="L92" s="24" t="inlineStr">
        <is>
          <t>Not assessed</t>
        </is>
      </c>
      <c r="M92" s="24" t="inlineStr">
        <is>
          <t>Not assessed</t>
        </is>
      </c>
      <c r="N92" s="24" t="inlineStr">
        <is>
          <t>Not assessed</t>
        </is>
      </c>
      <c r="O92" s="35" t="n"/>
      <c r="P92" s="24" t="inlineStr">
        <is>
          <t>Not scheduled</t>
        </is>
      </c>
      <c r="Q92" s="24" t="n"/>
      <c r="R92" s="24" t="inlineStr">
        <is>
          <t>No workload view anywhere</t>
        </is>
      </c>
      <c r="S92" s="24" t="n"/>
      <c r="T92" s="24" t="n"/>
      <c r="U92" s="36" t="n">
        <v>46285</v>
      </c>
      <c r="V92" s="24" t="n"/>
      <c r="W92" s="15">
        <f>IF(P92="Production",IF(X92="Yes","Released","Review release"),IF(P92="Rolled back","Rolled back",IF(OR(Q92&lt;&gt;"",COUNTIFS(J92:N92,"Blocked")&gt;0),"Blocked",IF(OR(M92="Failed",N92="Rejected",AND(ISNUMBER(O92),O92&gt;0)),"Rework",IF(X92="Yes","Ready for release",IF(N92="Accepted","Verify completion",IF(OR(M92="Passed",M92="In progress",N92="In review"),"Testing / review",IF(OR(COUNTIFS(J92:L92,"In progress")&gt;0,COUNTIFS(J92:L92,"In review")&gt;0,COUNTIFS(J92:L92,"Done")&gt;0),"In progress",IF(COUNTIFS(J92:N92,"Not assessed")=5,"Not assessed","Planned")))))))))</f>
        <v/>
      </c>
      <c r="X92" s="15">
        <f>IF(AND(J92="Done",OR(K92="Done",K92="Not required"),OR(L92="Done",L92="Not required"),M92="Passed",N92="Accepted",ISNUMBER(O92),O92=0,Q92="",F92&lt;&gt;"",S92&lt;&gt;"",T92&lt;&gt;"",ISNUMBER(U92),OR(AND(K92&lt;&gt;"Not required",L92&lt;&gt;"Not required"),V92&lt;&gt;""),P92&lt;&gt;"Rolled back"),"Yes","No")</f>
        <v/>
      </c>
      <c r="Y92" s="15">
        <f>IF(X92="Yes","Completed",IF(H92="","No deadline",IF(NOT(ISNUMBER(H92)),"Check date",IF(H92&lt;Overview!$I$3,"Overdue",IF(H92&lt;=Overview!$I$3+7,"Due soon","On track")))))</f>
        <v/>
      </c>
      <c r="Z92" s="37">
        <f>IF(AND(X92&lt;&gt;"Yes",ISNUMBER(H92)),MAX(0,Overview!$I$3-H92),0)</f>
        <v/>
      </c>
      <c r="AA92" s="5" t="inlineStr">
        <is>
          <t>School Admin</t>
        </is>
      </c>
      <c r="AB92" t="inlineStr">
        <is>
          <t>-</t>
        </is>
      </c>
    </row>
    <row r="93" ht="35" customHeight="1">
      <c r="A93" s="2" t="inlineStr">
        <is>
          <t>SCR-087</t>
        </is>
      </c>
      <c r="B93" s="5" t="inlineStr">
        <is>
          <t>Qualifications &amp; Documents</t>
        </is>
      </c>
      <c r="C93" s="5" t="inlineStr">
        <is>
          <t>Teachers &amp; Staff</t>
        </is>
      </c>
      <c r="D93" s="2" t="inlineStr">
        <is>
          <t>Phase 2</t>
        </is>
      </c>
      <c r="E93" s="2" t="inlineStr">
        <is>
          <t>US-0173, US-0174</t>
        </is>
      </c>
      <c r="F93" s="24" t="n"/>
      <c r="G93" s="24" t="n"/>
      <c r="H93" s="32" t="n"/>
      <c r="I93" s="2" t="inlineStr">
        <is>
          <t>Ready</t>
        </is>
      </c>
      <c r="J93" s="38" t="inlineStr">
        <is>
          <t>In progress</t>
        </is>
      </c>
      <c r="K93" s="33" t="inlineStr">
        <is>
          <t>Done</t>
        </is>
      </c>
      <c r="L93" s="24" t="inlineStr">
        <is>
          <t>Not assessed</t>
        </is>
      </c>
      <c r="M93" s="24" t="inlineStr">
        <is>
          <t>Not assessed</t>
        </is>
      </c>
      <c r="N93" s="24" t="inlineStr">
        <is>
          <t>Not assessed</t>
        </is>
      </c>
      <c r="O93" s="35" t="n"/>
      <c r="P93" s="24" t="inlineStr">
        <is>
          <t>Not scheduled</t>
        </is>
      </c>
      <c r="Q93" s="24" t="n"/>
      <c r="R93" s="24" t="inlineStr">
        <is>
          <t>No qualification fields on the staff record</t>
        </is>
      </c>
      <c r="S93" s="24" t="n"/>
      <c r="T93" s="24" t="n"/>
      <c r="U93" s="36" t="n">
        <v>46285</v>
      </c>
      <c r="V93" s="24" t="n"/>
      <c r="W93" s="15">
        <f>IF(P93="Production",IF(X93="Yes","Released","Review release"),IF(P93="Rolled back","Rolled back",IF(OR(Q93&lt;&gt;"",COUNTIFS(J93:N93,"Blocked")&gt;0),"Blocked",IF(OR(M93="Failed",N93="Rejected",AND(ISNUMBER(O93),O93&gt;0)),"Rework",IF(X93="Yes","Ready for release",IF(N93="Accepted","Verify completion",IF(OR(M93="Passed",M93="In progress",N93="In review"),"Testing / review",IF(OR(COUNTIFS(J93:L93,"In progress")&gt;0,COUNTIFS(J93:L93,"In review")&gt;0,COUNTIFS(J93:L93,"Done")&gt;0),"In progress",IF(COUNTIFS(J93:N93,"Not assessed")=5,"Not assessed","Planned")))))))))</f>
        <v/>
      </c>
      <c r="X93" s="15">
        <f>IF(AND(J93="Done",OR(K93="Done",K93="Not required"),OR(L93="Done",L93="Not required"),M93="Passed",N93="Accepted",ISNUMBER(O93),O93=0,Q93="",F93&lt;&gt;"",S93&lt;&gt;"",T93&lt;&gt;"",ISNUMBER(U93),OR(AND(K93&lt;&gt;"Not required",L93&lt;&gt;"Not required"),V93&lt;&gt;""),P93&lt;&gt;"Rolled back"),"Yes","No")</f>
        <v/>
      </c>
      <c r="Y93" s="15">
        <f>IF(X93="Yes","Completed",IF(H93="","No deadline",IF(NOT(ISNUMBER(H93)),"Check date",IF(H93&lt;Overview!$I$3,"Overdue",IF(H93&lt;=Overview!$I$3+7,"Due soon","On track")))))</f>
        <v/>
      </c>
      <c r="Z93" s="37">
        <f>IF(AND(X93&lt;&gt;"Yes",ISNUMBER(H93)),MAX(0,Overview!$I$3-H93),0)</f>
        <v/>
      </c>
      <c r="AA93" s="5" t="inlineStr">
        <is>
          <t>School Admin</t>
        </is>
      </c>
      <c r="AB93" t="inlineStr">
        <is>
          <t>/school/documents</t>
        </is>
      </c>
    </row>
    <row r="94" ht="35" customHeight="1">
      <c r="A94" s="2" t="inlineStr">
        <is>
          <t>SCR-088</t>
        </is>
      </c>
      <c r="B94" s="5" t="inlineStr">
        <is>
          <t>Staff Attendance Summary</t>
        </is>
      </c>
      <c r="C94" s="5" t="inlineStr">
        <is>
          <t>Teachers &amp; Staff</t>
        </is>
      </c>
      <c r="D94" s="2" t="inlineStr">
        <is>
          <t>Phase 3</t>
        </is>
      </c>
      <c r="E94" s="2" t="inlineStr">
        <is>
          <t>US-0175, US-0176</t>
        </is>
      </c>
      <c r="F94" s="24" t="n"/>
      <c r="G94" s="24" t="n"/>
      <c r="H94" s="32" t="n"/>
      <c r="I94" s="2" t="inlineStr">
        <is>
          <t>Ready</t>
        </is>
      </c>
      <c r="J94" s="38" t="inlineStr">
        <is>
          <t>In progress</t>
        </is>
      </c>
      <c r="K94" s="33" t="inlineStr">
        <is>
          <t>Done</t>
        </is>
      </c>
      <c r="L94" s="24" t="inlineStr">
        <is>
          <t>Not assessed</t>
        </is>
      </c>
      <c r="M94" s="24" t="inlineStr">
        <is>
          <t>Not assessed</t>
        </is>
      </c>
      <c r="N94" s="24" t="inlineStr">
        <is>
          <t>Not assessed</t>
        </is>
      </c>
      <c r="O94" s="35" t="n"/>
      <c r="P94" s="24" t="inlineStr">
        <is>
          <t>Not scheduled</t>
        </is>
      </c>
      <c r="Q94" s="24" t="n"/>
      <c r="R94" s="24" t="inlineStr">
        <is>
          <t>Single day only; no monthly summary</t>
        </is>
      </c>
      <c r="S94" s="24" t="n"/>
      <c r="T94" s="24" t="n"/>
      <c r="U94" s="36" t="n">
        <v>46285</v>
      </c>
      <c r="V94" s="24" t="n"/>
      <c r="W94" s="15">
        <f>IF(P94="Production",IF(X94="Yes","Released","Review release"),IF(P94="Rolled back","Rolled back",IF(OR(Q94&lt;&gt;"",COUNTIFS(J94:N94,"Blocked")&gt;0),"Blocked",IF(OR(M94="Failed",N94="Rejected",AND(ISNUMBER(O94),O94&gt;0)),"Rework",IF(X94="Yes","Ready for release",IF(N94="Accepted","Verify completion",IF(OR(M94="Passed",M94="In progress",N94="In review"),"Testing / review",IF(OR(COUNTIFS(J94:L94,"In progress")&gt;0,COUNTIFS(J94:L94,"In review")&gt;0,COUNTIFS(J94:L94,"Done")&gt;0),"In progress",IF(COUNTIFS(J94:N94,"Not assessed")=5,"Not assessed","Planned")))))))))</f>
        <v/>
      </c>
      <c r="X94" s="15">
        <f>IF(AND(J94="Done",OR(K94="Done",K94="Not required"),OR(L94="Done",L94="Not required"),M94="Passed",N94="Accepted",ISNUMBER(O94),O94=0,Q94="",F94&lt;&gt;"",S94&lt;&gt;"",T94&lt;&gt;"",ISNUMBER(U94),OR(AND(K94&lt;&gt;"Not required",L94&lt;&gt;"Not required"),V94&lt;&gt;""),P94&lt;&gt;"Rolled back"),"Yes","No")</f>
        <v/>
      </c>
      <c r="Y94" s="15">
        <f>IF(X94="Yes","Completed",IF(H94="","No deadline",IF(NOT(ISNUMBER(H94)),"Check date",IF(H94&lt;Overview!$I$3,"Overdue",IF(H94&lt;=Overview!$I$3+7,"Due soon","On track")))))</f>
        <v/>
      </c>
      <c r="Z94" s="37">
        <f>IF(AND(X94&lt;&gt;"Yes",ISNUMBER(H94)),MAX(0,Overview!$I$3-H94),0)</f>
        <v/>
      </c>
      <c r="AA94" s="5" t="inlineStr">
        <is>
          <t>School Admin</t>
        </is>
      </c>
      <c r="AB94" t="inlineStr">
        <is>
          <t>/school/staff-attendance</t>
        </is>
      </c>
    </row>
    <row r="95" ht="35" customHeight="1">
      <c r="A95" s="2" t="inlineStr">
        <is>
          <t>SCR-089</t>
        </is>
      </c>
      <c r="B95" s="5" t="inlineStr">
        <is>
          <t>Staff Leave Summary</t>
        </is>
      </c>
      <c r="C95" s="5" t="inlineStr">
        <is>
          <t>Teachers &amp; Staff</t>
        </is>
      </c>
      <c r="D95" s="2" t="inlineStr">
        <is>
          <t>Phase 3</t>
        </is>
      </c>
      <c r="E95" s="2" t="inlineStr">
        <is>
          <t>US-0177, US-0178</t>
        </is>
      </c>
      <c r="F95" s="24" t="n"/>
      <c r="G95" s="24" t="n"/>
      <c r="H95" s="32" t="n"/>
      <c r="I95" s="2" t="inlineStr">
        <is>
          <t>Ready</t>
        </is>
      </c>
      <c r="J95" s="33" t="inlineStr">
        <is>
          <t>Done</t>
        </is>
      </c>
      <c r="K95" s="33" t="inlineStr">
        <is>
          <t>Done</t>
        </is>
      </c>
      <c r="L95" s="24" t="inlineStr">
        <is>
          <t>Not assessed</t>
        </is>
      </c>
      <c r="M95" s="24" t="inlineStr">
        <is>
          <t>Not assessed</t>
        </is>
      </c>
      <c r="N95" s="24" t="inlineStr">
        <is>
          <t>Not assessed</t>
        </is>
      </c>
      <c r="O95" s="35" t="n"/>
      <c r="P95" s="24" t="inlineStr">
        <is>
          <t>Not scheduled</t>
        </is>
      </c>
      <c r="Q95" s="24" t="n"/>
      <c r="R95" s="24" t="inlineStr">
        <is>
          <t>Decisions plus per-employee balances</t>
        </is>
      </c>
      <c r="S95" s="24" t="n"/>
      <c r="T95" s="24" t="n"/>
      <c r="U95" s="36" t="n">
        <v>46285</v>
      </c>
      <c r="V95" s="24" t="n"/>
      <c r="W95" s="15">
        <f>IF(P95="Production",IF(X95="Yes","Released","Review release"),IF(P95="Rolled back","Rolled back",IF(OR(Q95&lt;&gt;"",COUNTIFS(J95:N95,"Blocked")&gt;0),"Blocked",IF(OR(M95="Failed",N95="Rejected",AND(ISNUMBER(O95),O95&gt;0)),"Rework",IF(X95="Yes","Ready for release",IF(N95="Accepted","Verify completion",IF(OR(M95="Passed",M95="In progress",N95="In review"),"Testing / review",IF(OR(COUNTIFS(J95:L95,"In progress")&gt;0,COUNTIFS(J95:L95,"In review")&gt;0,COUNTIFS(J95:L95,"Done")&gt;0),"In progress",IF(COUNTIFS(J95:N95,"Not assessed")=5,"Not assessed","Planned")))))))))</f>
        <v/>
      </c>
      <c r="X95" s="15">
        <f>IF(AND(J95="Done",OR(K95="Done",K95="Not required"),OR(L95="Done",L95="Not required"),M95="Passed",N95="Accepted",ISNUMBER(O95),O95=0,Q95="",F95&lt;&gt;"",S95&lt;&gt;"",T95&lt;&gt;"",ISNUMBER(U95),OR(AND(K95&lt;&gt;"Not required",L95&lt;&gt;"Not required"),V95&lt;&gt;""),P95&lt;&gt;"Rolled back"),"Yes","No")</f>
        <v/>
      </c>
      <c r="Y95" s="15">
        <f>IF(X95="Yes","Completed",IF(H95="","No deadline",IF(NOT(ISNUMBER(H95)),"Check date",IF(H95&lt;Overview!$I$3,"Overdue",IF(H95&lt;=Overview!$I$3+7,"Due soon","On track")))))</f>
        <v/>
      </c>
      <c r="Z95" s="37">
        <f>IF(AND(X95&lt;&gt;"Yes",ISNUMBER(H95)),MAX(0,Overview!$I$3-H95),0)</f>
        <v/>
      </c>
      <c r="AA95" s="5" t="inlineStr">
        <is>
          <t>School Admin</t>
        </is>
      </c>
      <c r="AB95" t="inlineStr">
        <is>
          <t>/school/staff-leaves</t>
        </is>
      </c>
    </row>
    <row r="96" ht="35" customHeight="1">
      <c r="A96" s="2" t="inlineStr">
        <is>
          <t>SCR-090</t>
        </is>
      </c>
      <c r="B96" s="5" t="inlineStr">
        <is>
          <t>Performance &amp; Classroom Observation</t>
        </is>
      </c>
      <c r="C96" s="5" t="inlineStr">
        <is>
          <t>Teachers &amp; Staff</t>
        </is>
      </c>
      <c r="D96" s="2" t="inlineStr">
        <is>
          <t>Phase 3</t>
        </is>
      </c>
      <c r="E96" s="2" t="inlineStr">
        <is>
          <t>US-0179, US-0180</t>
        </is>
      </c>
      <c r="F96" s="24" t="n"/>
      <c r="G96" s="24" t="n"/>
      <c r="H96" s="32" t="n"/>
      <c r="I96" s="2" t="inlineStr">
        <is>
          <t>Ready</t>
        </is>
      </c>
      <c r="J96" s="39" t="inlineStr">
        <is>
          <t>Not started</t>
        </is>
      </c>
      <c r="K96" s="39" t="inlineStr">
        <is>
          <t>Not started</t>
        </is>
      </c>
      <c r="L96" s="24" t="inlineStr">
        <is>
          <t>Not assessed</t>
        </is>
      </c>
      <c r="M96" s="24" t="inlineStr">
        <is>
          <t>Not assessed</t>
        </is>
      </c>
      <c r="N96" s="24" t="inlineStr">
        <is>
          <t>Not assessed</t>
        </is>
      </c>
      <c r="O96" s="35" t="n"/>
      <c r="P96" s="24" t="inlineStr">
        <is>
          <t>Not scheduled</t>
        </is>
      </c>
      <c r="Q96" s="24" t="n"/>
      <c r="R96" s="24" t="inlineStr">
        <is>
          <t>No observation or appraisal anywhere</t>
        </is>
      </c>
      <c r="S96" s="24" t="n"/>
      <c r="T96" s="24" t="n"/>
      <c r="U96" s="36" t="n">
        <v>46285</v>
      </c>
      <c r="V96" s="24" t="n"/>
      <c r="W96" s="15">
        <f>IF(P96="Production",IF(X96="Yes","Released","Review release"),IF(P96="Rolled back","Rolled back",IF(OR(Q96&lt;&gt;"",COUNTIFS(J96:N96,"Blocked")&gt;0),"Blocked",IF(OR(M96="Failed",N96="Rejected",AND(ISNUMBER(O96),O96&gt;0)),"Rework",IF(X96="Yes","Ready for release",IF(N96="Accepted","Verify completion",IF(OR(M96="Passed",M96="In progress",N96="In review"),"Testing / review",IF(OR(COUNTIFS(J96:L96,"In progress")&gt;0,COUNTIFS(J96:L96,"In review")&gt;0,COUNTIFS(J96:L96,"Done")&gt;0),"In progress",IF(COUNTIFS(J96:N96,"Not assessed")=5,"Not assessed","Planned")))))))))</f>
        <v/>
      </c>
      <c r="X96" s="15">
        <f>IF(AND(J96="Done",OR(K96="Done",K96="Not required"),OR(L96="Done",L96="Not required"),M96="Passed",N96="Accepted",ISNUMBER(O96),O96=0,Q96="",F96&lt;&gt;"",S96&lt;&gt;"",T96&lt;&gt;"",ISNUMBER(U96),OR(AND(K96&lt;&gt;"Not required",L96&lt;&gt;"Not required"),V96&lt;&gt;""),P96&lt;&gt;"Rolled back"),"Yes","No")</f>
        <v/>
      </c>
      <c r="Y96" s="15">
        <f>IF(X96="Yes","Completed",IF(H96="","No deadline",IF(NOT(ISNUMBER(H96)),"Check date",IF(H96&lt;Overview!$I$3,"Overdue",IF(H96&lt;=Overview!$I$3+7,"Due soon","On track")))))</f>
        <v/>
      </c>
      <c r="Z96" s="37">
        <f>IF(AND(X96&lt;&gt;"Yes",ISNUMBER(H96)),MAX(0,Overview!$I$3-H96),0)</f>
        <v/>
      </c>
      <c r="AA96" s="5" t="inlineStr">
        <is>
          <t>School Admin</t>
        </is>
      </c>
      <c r="AB96" t="inlineStr">
        <is>
          <t>-</t>
        </is>
      </c>
    </row>
    <row r="97" ht="35" customHeight="1">
      <c r="A97" s="2" t="inlineStr">
        <is>
          <t>SCR-091</t>
        </is>
      </c>
      <c r="B97" s="5" t="inlineStr">
        <is>
          <t>Exit / Offboarding</t>
        </is>
      </c>
      <c r="C97" s="5" t="inlineStr">
        <is>
          <t>Teachers &amp; Staff</t>
        </is>
      </c>
      <c r="D97" s="2" t="inlineStr">
        <is>
          <t>Phase 3</t>
        </is>
      </c>
      <c r="E97" s="2" t="inlineStr">
        <is>
          <t>US-0181, US-0182</t>
        </is>
      </c>
      <c r="F97" s="24" t="n"/>
      <c r="G97" s="24" t="n"/>
      <c r="H97" s="32" t="n"/>
      <c r="I97" s="2" t="inlineStr">
        <is>
          <t>Ready</t>
        </is>
      </c>
      <c r="J97" s="38" t="inlineStr">
        <is>
          <t>In progress</t>
        </is>
      </c>
      <c r="K97" s="38" t="inlineStr">
        <is>
          <t>In progress</t>
        </is>
      </c>
      <c r="L97" s="24" t="inlineStr">
        <is>
          <t>Not assessed</t>
        </is>
      </c>
      <c r="M97" s="24" t="inlineStr">
        <is>
          <t>Not assessed</t>
        </is>
      </c>
      <c r="N97" s="24" t="inlineStr">
        <is>
          <t>Not assessed</t>
        </is>
      </c>
      <c r="O97" s="35" t="n"/>
      <c r="P97" s="24" t="inlineStr">
        <is>
          <t>Not scheduled</t>
        </is>
      </c>
      <c r="Q97" s="24" t="n"/>
      <c r="R97" s="24" t="inlineStr">
        <is>
          <t>Deactivate only; no clearance or exit flow</t>
        </is>
      </c>
      <c r="S97" s="24" t="n"/>
      <c r="T97" s="24" t="n"/>
      <c r="U97" s="36" t="n">
        <v>46285</v>
      </c>
      <c r="V97" s="24" t="n"/>
      <c r="W97" s="15">
        <f>IF(P97="Production",IF(X97="Yes","Released","Review release"),IF(P97="Rolled back","Rolled back",IF(OR(Q97&lt;&gt;"",COUNTIFS(J97:N97,"Blocked")&gt;0),"Blocked",IF(OR(M97="Failed",N97="Rejected",AND(ISNUMBER(O97),O97&gt;0)),"Rework",IF(X97="Yes","Ready for release",IF(N97="Accepted","Verify completion",IF(OR(M97="Passed",M97="In progress",N97="In review"),"Testing / review",IF(OR(COUNTIFS(J97:L97,"In progress")&gt;0,COUNTIFS(J97:L97,"In review")&gt;0,COUNTIFS(J97:L97,"Done")&gt;0),"In progress",IF(COUNTIFS(J97:N97,"Not assessed")=5,"Not assessed","Planned")))))))))</f>
        <v/>
      </c>
      <c r="X97" s="15">
        <f>IF(AND(J97="Done",OR(K97="Done",K97="Not required"),OR(L97="Done",L97="Not required"),M97="Passed",N97="Accepted",ISNUMBER(O97),O97=0,Q97="",F97&lt;&gt;"",S97&lt;&gt;"",T97&lt;&gt;"",ISNUMBER(U97),OR(AND(K97&lt;&gt;"Not required",L97&lt;&gt;"Not required"),V97&lt;&gt;""),P97&lt;&gt;"Rolled back"),"Yes","No")</f>
        <v/>
      </c>
      <c r="Y97" s="15">
        <f>IF(X97="Yes","Completed",IF(H97="","No deadline",IF(NOT(ISNUMBER(H97)),"Check date",IF(H97&lt;Overview!$I$3,"Overdue",IF(H97&lt;=Overview!$I$3+7,"Due soon","On track")))))</f>
        <v/>
      </c>
      <c r="Z97" s="37">
        <f>IF(AND(X97&lt;&gt;"Yes",ISNUMBER(H97)),MAX(0,Overview!$I$3-H97),0)</f>
        <v/>
      </c>
      <c r="AA97" s="5" t="inlineStr">
        <is>
          <t>School Admin</t>
        </is>
      </c>
      <c r="AB97" t="inlineStr">
        <is>
          <t>/school/staff</t>
        </is>
      </c>
    </row>
    <row r="98" ht="35" customHeight="1">
      <c r="A98" s="2" t="inlineStr">
        <is>
          <t>SCR-092</t>
        </is>
      </c>
      <c r="B98" s="5" t="inlineStr">
        <is>
          <t>Academic Years</t>
        </is>
      </c>
      <c r="C98" s="5" t="inlineStr">
        <is>
          <t>Academics &amp; Curriculum</t>
        </is>
      </c>
      <c r="D98" s="2" t="inlineStr">
        <is>
          <t>MVP</t>
        </is>
      </c>
      <c r="E98" s="2" t="inlineStr">
        <is>
          <t>US-0183, US-0184</t>
        </is>
      </c>
      <c r="F98" s="24" t="n"/>
      <c r="G98" s="24" t="n"/>
      <c r="H98" s="32" t="n"/>
      <c r="I98" s="2" t="inlineStr">
        <is>
          <t>Ready</t>
        </is>
      </c>
      <c r="J98" s="33" t="inlineStr">
        <is>
          <t>Done</t>
        </is>
      </c>
      <c r="K98" s="33" t="inlineStr">
        <is>
          <t>Done</t>
        </is>
      </c>
      <c r="L98" s="24" t="inlineStr">
        <is>
          <t>Not assessed</t>
        </is>
      </c>
      <c r="M98" s="24" t="inlineStr">
        <is>
          <t>Not assessed</t>
        </is>
      </c>
      <c r="N98" s="24" t="inlineStr">
        <is>
          <t>Not assessed</t>
        </is>
      </c>
      <c r="O98" s="35" t="n"/>
      <c r="P98" s="24" t="inlineStr">
        <is>
          <t>Not scheduled</t>
        </is>
      </c>
      <c r="Q98" s="24" t="n"/>
      <c r="R98" s="24" t="inlineStr">
        <is>
          <t>Full CRUD, archive, set-current</t>
        </is>
      </c>
      <c r="S98" s="24" t="n"/>
      <c r="T98" s="24" t="n"/>
      <c r="U98" s="36" t="n">
        <v>46285</v>
      </c>
      <c r="V98" s="24" t="n"/>
      <c r="W98" s="15">
        <f>IF(P98="Production",IF(X98="Yes","Released","Review release"),IF(P98="Rolled back","Rolled back",IF(OR(Q98&lt;&gt;"",COUNTIFS(J98:N98,"Blocked")&gt;0),"Blocked",IF(OR(M98="Failed",N98="Rejected",AND(ISNUMBER(O98),O98&gt;0)),"Rework",IF(X98="Yes","Ready for release",IF(N98="Accepted","Verify completion",IF(OR(M98="Passed",M98="In progress",N98="In review"),"Testing / review",IF(OR(COUNTIFS(J98:L98,"In progress")&gt;0,COUNTIFS(J98:L98,"In review")&gt;0,COUNTIFS(J98:L98,"Done")&gt;0),"In progress",IF(COUNTIFS(J98:N98,"Not assessed")=5,"Not assessed","Planned")))))))))</f>
        <v/>
      </c>
      <c r="X98" s="15">
        <f>IF(AND(J98="Done",OR(K98="Done",K98="Not required"),OR(L98="Done",L98="Not required"),M98="Passed",N98="Accepted",ISNUMBER(O98),O98=0,Q98="",F98&lt;&gt;"",S98&lt;&gt;"",T98&lt;&gt;"",ISNUMBER(U98),OR(AND(K98&lt;&gt;"Not required",L98&lt;&gt;"Not required"),V98&lt;&gt;""),P98&lt;&gt;"Rolled back"),"Yes","No")</f>
        <v/>
      </c>
      <c r="Y98" s="15">
        <f>IF(X98="Yes","Completed",IF(H98="","No deadline",IF(NOT(ISNUMBER(H98)),"Check date",IF(H98&lt;Overview!$I$3,"Overdue",IF(H98&lt;=Overview!$I$3+7,"Due soon","On track")))))</f>
        <v/>
      </c>
      <c r="Z98" s="37">
        <f>IF(AND(X98&lt;&gt;"Yes",ISNUMBER(H98)),MAX(0,Overview!$I$3-H98),0)</f>
        <v/>
      </c>
      <c r="AA98" s="5" t="inlineStr">
        <is>
          <t>Academic Coordinator</t>
        </is>
      </c>
      <c r="AB98" t="inlineStr">
        <is>
          <t>/school/academic-years</t>
        </is>
      </c>
    </row>
    <row r="99" ht="35" customHeight="1">
      <c r="A99" s="2" t="inlineStr">
        <is>
          <t>SCR-093</t>
        </is>
      </c>
      <c r="B99" s="5" t="inlineStr">
        <is>
          <t>Terms / Semesters</t>
        </is>
      </c>
      <c r="C99" s="5" t="inlineStr">
        <is>
          <t>Academics &amp; Curriculum</t>
        </is>
      </c>
      <c r="D99" s="2" t="inlineStr">
        <is>
          <t>MVP</t>
        </is>
      </c>
      <c r="E99" s="2" t="inlineStr">
        <is>
          <t>US-0185, US-0186</t>
        </is>
      </c>
      <c r="F99" s="24" t="n"/>
      <c r="G99" s="24" t="n"/>
      <c r="H99" s="32" t="n"/>
      <c r="I99" s="2" t="inlineStr">
        <is>
          <t>Ready</t>
        </is>
      </c>
      <c r="J99" s="33" t="inlineStr">
        <is>
          <t>Done</t>
        </is>
      </c>
      <c r="K99" s="33" t="inlineStr">
        <is>
          <t>Done</t>
        </is>
      </c>
      <c r="L99" s="24" t="inlineStr">
        <is>
          <t>Not assessed</t>
        </is>
      </c>
      <c r="M99" s="24" t="inlineStr">
        <is>
          <t>Not assessed</t>
        </is>
      </c>
      <c r="N99" s="24" t="inlineStr">
        <is>
          <t>Not assessed</t>
        </is>
      </c>
      <c r="O99" s="35" t="n"/>
      <c r="P99" s="24" t="inlineStr">
        <is>
          <t>Not scheduled</t>
        </is>
      </c>
      <c r="Q99" s="24" t="n"/>
      <c r="R99" s="24" t="inlineStr">
        <is>
          <t>Terms per year with overlap guard</t>
        </is>
      </c>
      <c r="S99" s="24" t="n"/>
      <c r="T99" s="24" t="n"/>
      <c r="U99" s="36" t="n">
        <v>46285</v>
      </c>
      <c r="V99" s="24" t="n"/>
      <c r="W99" s="15">
        <f>IF(P99="Production",IF(X99="Yes","Released","Review release"),IF(P99="Rolled back","Rolled back",IF(OR(Q99&lt;&gt;"",COUNTIFS(J99:N99,"Blocked")&gt;0),"Blocked",IF(OR(M99="Failed",N99="Rejected",AND(ISNUMBER(O99),O99&gt;0)),"Rework",IF(X99="Yes","Ready for release",IF(N99="Accepted","Verify completion",IF(OR(M99="Passed",M99="In progress",N99="In review"),"Testing / review",IF(OR(COUNTIFS(J99:L99,"In progress")&gt;0,COUNTIFS(J99:L99,"In review")&gt;0,COUNTIFS(J99:L99,"Done")&gt;0),"In progress",IF(COUNTIFS(J99:N99,"Not assessed")=5,"Not assessed","Planned")))))))))</f>
        <v/>
      </c>
      <c r="X99" s="15">
        <f>IF(AND(J99="Done",OR(K99="Done",K99="Not required"),OR(L99="Done",L99="Not required"),M99="Passed",N99="Accepted",ISNUMBER(O99),O99=0,Q99="",F99&lt;&gt;"",S99&lt;&gt;"",T99&lt;&gt;"",ISNUMBER(U99),OR(AND(K99&lt;&gt;"Not required",L99&lt;&gt;"Not required"),V99&lt;&gt;""),P99&lt;&gt;"Rolled back"),"Yes","No")</f>
        <v/>
      </c>
      <c r="Y99" s="15">
        <f>IF(X99="Yes","Completed",IF(H99="","No deadline",IF(NOT(ISNUMBER(H99)),"Check date",IF(H99&lt;Overview!$I$3,"Overdue",IF(H99&lt;=Overview!$I$3+7,"Due soon","On track")))))</f>
        <v/>
      </c>
      <c r="Z99" s="37">
        <f>IF(AND(X99&lt;&gt;"Yes",ISNUMBER(H99)),MAX(0,Overview!$I$3-H99),0)</f>
        <v/>
      </c>
      <c r="AA99" s="5" t="inlineStr">
        <is>
          <t>Academic Coordinator</t>
        </is>
      </c>
      <c r="AB99" t="inlineStr">
        <is>
          <t>/school/terms</t>
        </is>
      </c>
    </row>
    <row r="100" ht="35" customHeight="1">
      <c r="A100" s="2" t="inlineStr">
        <is>
          <t>SCR-094</t>
        </is>
      </c>
      <c r="B100" s="5" t="inlineStr">
        <is>
          <t>Grades / Classes</t>
        </is>
      </c>
      <c r="C100" s="5" t="inlineStr">
        <is>
          <t>Academics &amp; Curriculum</t>
        </is>
      </c>
      <c r="D100" s="2" t="inlineStr">
        <is>
          <t>MVP</t>
        </is>
      </c>
      <c r="E100" s="2" t="inlineStr">
        <is>
          <t>US-0187, US-0188</t>
        </is>
      </c>
      <c r="F100" s="24" t="n"/>
      <c r="G100" s="24" t="n"/>
      <c r="H100" s="32" t="n"/>
      <c r="I100" s="2" t="inlineStr">
        <is>
          <t>Ready</t>
        </is>
      </c>
      <c r="J100" s="33" t="inlineStr">
        <is>
          <t>Done</t>
        </is>
      </c>
      <c r="K100" s="33" t="inlineStr">
        <is>
          <t>Done</t>
        </is>
      </c>
      <c r="L100" s="24" t="inlineStr">
        <is>
          <t>Not assessed</t>
        </is>
      </c>
      <c r="M100" s="24" t="inlineStr">
        <is>
          <t>Not assessed</t>
        </is>
      </c>
      <c r="N100" s="24" t="inlineStr">
        <is>
          <t>Not assessed</t>
        </is>
      </c>
      <c r="O100" s="35" t="n"/>
      <c r="P100" s="24" t="inlineStr">
        <is>
          <t>Not scheduled</t>
        </is>
      </c>
      <c r="Q100" s="24" t="n"/>
      <c r="R100" s="24" t="inlineStr">
        <is>
          <t>Create, rename, reorder, delete classes</t>
        </is>
      </c>
      <c r="S100" s="24" t="n"/>
      <c r="T100" s="24" t="n"/>
      <c r="U100" s="36" t="n">
        <v>46285</v>
      </c>
      <c r="V100" s="24" t="n"/>
      <c r="W100" s="15">
        <f>IF(P100="Production",IF(X100="Yes","Released","Review release"),IF(P100="Rolled back","Rolled back",IF(OR(Q100&lt;&gt;"",COUNTIFS(J100:N100,"Blocked")&gt;0),"Blocked",IF(OR(M100="Failed",N100="Rejected",AND(ISNUMBER(O100),O100&gt;0)),"Rework",IF(X100="Yes","Ready for release",IF(N100="Accepted","Verify completion",IF(OR(M100="Passed",M100="In progress",N100="In review"),"Testing / review",IF(OR(COUNTIFS(J100:L100,"In progress")&gt;0,COUNTIFS(J100:L100,"In review")&gt;0,COUNTIFS(J100:L100,"Done")&gt;0),"In progress",IF(COUNTIFS(J100:N100,"Not assessed")=5,"Not assessed","Planned")))))))))</f>
        <v/>
      </c>
      <c r="X100" s="15">
        <f>IF(AND(J100="Done",OR(K100="Done",K100="Not required"),OR(L100="Done",L100="Not required"),M100="Passed",N100="Accepted",ISNUMBER(O100),O100=0,Q100="",F100&lt;&gt;"",S100&lt;&gt;"",T100&lt;&gt;"",ISNUMBER(U100),OR(AND(K100&lt;&gt;"Not required",L100&lt;&gt;"Not required"),V100&lt;&gt;""),P100&lt;&gt;"Rolled back"),"Yes","No")</f>
        <v/>
      </c>
      <c r="Y100" s="15">
        <f>IF(X100="Yes","Completed",IF(H100="","No deadline",IF(NOT(ISNUMBER(H100)),"Check date",IF(H100&lt;Overview!$I$3,"Overdue",IF(H100&lt;=Overview!$I$3+7,"Due soon","On track")))))</f>
        <v/>
      </c>
      <c r="Z100" s="37">
        <f>IF(AND(X100&lt;&gt;"Yes",ISNUMBER(H100)),MAX(0,Overview!$I$3-H100),0)</f>
        <v/>
      </c>
      <c r="AA100" s="5" t="inlineStr">
        <is>
          <t>Academic Coordinator</t>
        </is>
      </c>
      <c r="AB100" t="inlineStr">
        <is>
          <t>/school/classes</t>
        </is>
      </c>
    </row>
    <row r="101" ht="35" customHeight="1">
      <c r="A101" s="2" t="inlineStr">
        <is>
          <t>SCR-095</t>
        </is>
      </c>
      <c r="B101" s="5" t="inlineStr">
        <is>
          <t>Sections</t>
        </is>
      </c>
      <c r="C101" s="5" t="inlineStr">
        <is>
          <t>Academics &amp; Curriculum</t>
        </is>
      </c>
      <c r="D101" s="2" t="inlineStr">
        <is>
          <t>MVP</t>
        </is>
      </c>
      <c r="E101" s="2" t="inlineStr">
        <is>
          <t>US-0189, US-0190</t>
        </is>
      </c>
      <c r="F101" s="24" t="n"/>
      <c r="G101" s="24" t="n"/>
      <c r="H101" s="32" t="n"/>
      <c r="I101" s="2" t="inlineStr">
        <is>
          <t>Ready</t>
        </is>
      </c>
      <c r="J101" s="33" t="inlineStr">
        <is>
          <t>Done</t>
        </is>
      </c>
      <c r="K101" s="33" t="inlineStr">
        <is>
          <t>Done</t>
        </is>
      </c>
      <c r="L101" s="24" t="inlineStr">
        <is>
          <t>Not assessed</t>
        </is>
      </c>
      <c r="M101" s="24" t="inlineStr">
        <is>
          <t>Not assessed</t>
        </is>
      </c>
      <c r="N101" s="24" t="inlineStr">
        <is>
          <t>Not assessed</t>
        </is>
      </c>
      <c r="O101" s="35" t="n"/>
      <c r="P101" s="24" t="inlineStr">
        <is>
          <t>Not scheduled</t>
        </is>
      </c>
      <c r="Q101" s="24" t="n"/>
      <c r="R101" s="24" t="inlineStr">
        <is>
          <t>Sections are a nested list inside Classes (in a tab, complete)</t>
        </is>
      </c>
      <c r="S101" s="24" t="n"/>
      <c r="T101" s="24" t="n"/>
      <c r="U101" s="36" t="n">
        <v>46285</v>
      </c>
      <c r="V101" s="24" t="n"/>
      <c r="W101" s="15">
        <f>IF(P101="Production",IF(X101="Yes","Released","Review release"),IF(P101="Rolled back","Rolled back",IF(OR(Q101&lt;&gt;"",COUNTIFS(J101:N101,"Blocked")&gt;0),"Blocked",IF(OR(M101="Failed",N101="Rejected",AND(ISNUMBER(O101),O101&gt;0)),"Rework",IF(X101="Yes","Ready for release",IF(N101="Accepted","Verify completion",IF(OR(M101="Passed",M101="In progress",N101="In review"),"Testing / review",IF(OR(COUNTIFS(J101:L101,"In progress")&gt;0,COUNTIFS(J101:L101,"In review")&gt;0,COUNTIFS(J101:L101,"Done")&gt;0),"In progress",IF(COUNTIFS(J101:N101,"Not assessed")=5,"Not assessed","Planned")))))))))</f>
        <v/>
      </c>
      <c r="X101" s="15">
        <f>IF(AND(J101="Done",OR(K101="Done",K101="Not required"),OR(L101="Done",L101="Not required"),M101="Passed",N101="Accepted",ISNUMBER(O101),O101=0,Q101="",F101&lt;&gt;"",S101&lt;&gt;"",T101&lt;&gt;"",ISNUMBER(U101),OR(AND(K101&lt;&gt;"Not required",L101&lt;&gt;"Not required"),V101&lt;&gt;""),P101&lt;&gt;"Rolled back"),"Yes","No")</f>
        <v/>
      </c>
      <c r="Y101" s="15">
        <f>IF(X101="Yes","Completed",IF(H101="","No deadline",IF(NOT(ISNUMBER(H101)),"Check date",IF(H101&lt;Overview!$I$3,"Overdue",IF(H101&lt;=Overview!$I$3+7,"Due soon","On track")))))</f>
        <v/>
      </c>
      <c r="Z101" s="37">
        <f>IF(AND(X101&lt;&gt;"Yes",ISNUMBER(H101)),MAX(0,Overview!$I$3-H101),0)</f>
        <v/>
      </c>
      <c r="AA101" s="5" t="inlineStr">
        <is>
          <t>Academic Coordinator</t>
        </is>
      </c>
      <c r="AB101" t="inlineStr">
        <is>
          <t>/school/classes</t>
        </is>
      </c>
    </row>
    <row r="102" ht="35" customHeight="1">
      <c r="A102" s="2" t="inlineStr">
        <is>
          <t>SCR-096</t>
        </is>
      </c>
      <c r="B102" s="5" t="inlineStr">
        <is>
          <t>Subjects</t>
        </is>
      </c>
      <c r="C102" s="5" t="inlineStr">
        <is>
          <t>Academics &amp; Curriculum</t>
        </is>
      </c>
      <c r="D102" s="2" t="inlineStr">
        <is>
          <t>MVP</t>
        </is>
      </c>
      <c r="E102" s="2" t="inlineStr">
        <is>
          <t>US-0191, US-0192</t>
        </is>
      </c>
      <c r="F102" s="24" t="n"/>
      <c r="G102" s="24" t="n"/>
      <c r="H102" s="32" t="n"/>
      <c r="I102" s="2" t="inlineStr">
        <is>
          <t>Ready</t>
        </is>
      </c>
      <c r="J102" s="33" t="inlineStr">
        <is>
          <t>Done</t>
        </is>
      </c>
      <c r="K102" s="33" t="inlineStr">
        <is>
          <t>Done</t>
        </is>
      </c>
      <c r="L102" s="24" t="inlineStr">
        <is>
          <t>Not assessed</t>
        </is>
      </c>
      <c r="M102" s="24" t="inlineStr">
        <is>
          <t>Not assessed</t>
        </is>
      </c>
      <c r="N102" s="24" t="inlineStr">
        <is>
          <t>Not assessed</t>
        </is>
      </c>
      <c r="O102" s="35" t="n"/>
      <c r="P102" s="24" t="inlineStr">
        <is>
          <t>Not scheduled</t>
        </is>
      </c>
      <c r="Q102" s="24" t="n"/>
      <c r="R102" s="24" t="inlineStr">
        <is>
          <t>CRUD, code, kind, department, bulk paste</t>
        </is>
      </c>
      <c r="S102" s="24" t="n"/>
      <c r="T102" s="24" t="n"/>
      <c r="U102" s="36" t="n">
        <v>46285</v>
      </c>
      <c r="V102" s="24" t="n"/>
      <c r="W102" s="15">
        <f>IF(P102="Production",IF(X102="Yes","Released","Review release"),IF(P102="Rolled back","Rolled back",IF(OR(Q102&lt;&gt;"",COUNTIFS(J102:N102,"Blocked")&gt;0),"Blocked",IF(OR(M102="Failed",N102="Rejected",AND(ISNUMBER(O102),O102&gt;0)),"Rework",IF(X102="Yes","Ready for release",IF(N102="Accepted","Verify completion",IF(OR(M102="Passed",M102="In progress",N102="In review"),"Testing / review",IF(OR(COUNTIFS(J102:L102,"In progress")&gt;0,COUNTIFS(J102:L102,"In review")&gt;0,COUNTIFS(J102:L102,"Done")&gt;0),"In progress",IF(COUNTIFS(J102:N102,"Not assessed")=5,"Not assessed","Planned")))))))))</f>
        <v/>
      </c>
      <c r="X102" s="15">
        <f>IF(AND(J102="Done",OR(K102="Done",K102="Not required"),OR(L102="Done",L102="Not required"),M102="Passed",N102="Accepted",ISNUMBER(O102),O102=0,Q102="",F102&lt;&gt;"",S102&lt;&gt;"",T102&lt;&gt;"",ISNUMBER(U102),OR(AND(K102&lt;&gt;"Not required",L102&lt;&gt;"Not required"),V102&lt;&gt;""),P102&lt;&gt;"Rolled back"),"Yes","No")</f>
        <v/>
      </c>
      <c r="Y102" s="15">
        <f>IF(X102="Yes","Completed",IF(H102="","No deadline",IF(NOT(ISNUMBER(H102)),"Check date",IF(H102&lt;Overview!$I$3,"Overdue",IF(H102&lt;=Overview!$I$3+7,"Due soon","On track")))))</f>
        <v/>
      </c>
      <c r="Z102" s="37">
        <f>IF(AND(X102&lt;&gt;"Yes",ISNUMBER(H102)),MAX(0,Overview!$I$3-H102),0)</f>
        <v/>
      </c>
      <c r="AA102" s="5" t="inlineStr">
        <is>
          <t>Academic Coordinator</t>
        </is>
      </c>
      <c r="AB102" t="inlineStr">
        <is>
          <t>/school/subjects</t>
        </is>
      </c>
    </row>
    <row r="103" ht="35" customHeight="1">
      <c r="A103" s="2" t="inlineStr">
        <is>
          <t>SCR-097</t>
        </is>
      </c>
      <c r="B103" s="5" t="inlineStr">
        <is>
          <t>Subject Groups</t>
        </is>
      </c>
      <c r="C103" s="5" t="inlineStr">
        <is>
          <t>Academics &amp; Curriculum</t>
        </is>
      </c>
      <c r="D103" s="2" t="inlineStr">
        <is>
          <t>MVP</t>
        </is>
      </c>
      <c r="E103" s="2" t="inlineStr">
        <is>
          <t>US-0193, US-0194</t>
        </is>
      </c>
      <c r="F103" s="24" t="n"/>
      <c r="G103" s="24" t="n"/>
      <c r="H103" s="32" t="n"/>
      <c r="I103" s="2" t="inlineStr">
        <is>
          <t>Ready</t>
        </is>
      </c>
      <c r="J103" s="39" t="inlineStr">
        <is>
          <t>Not started</t>
        </is>
      </c>
      <c r="K103" s="39" t="inlineStr">
        <is>
          <t>Not started</t>
        </is>
      </c>
      <c r="L103" s="24" t="inlineStr">
        <is>
          <t>Not assessed</t>
        </is>
      </c>
      <c r="M103" s="24" t="inlineStr">
        <is>
          <t>Not assessed</t>
        </is>
      </c>
      <c r="N103" s="24" t="inlineStr">
        <is>
          <t>Not assessed</t>
        </is>
      </c>
      <c r="O103" s="35" t="n"/>
      <c r="P103" s="24" t="inlineStr">
        <is>
          <t>Not scheduled</t>
        </is>
      </c>
      <c r="Q103" s="24" t="n"/>
      <c r="R103" s="24" t="inlineStr">
        <is>
          <t>No subject-group entity anywhere</t>
        </is>
      </c>
      <c r="S103" s="24" t="n"/>
      <c r="T103" s="24" t="n"/>
      <c r="U103" s="36" t="n">
        <v>46285</v>
      </c>
      <c r="V103" s="24" t="n"/>
      <c r="W103" s="15">
        <f>IF(P103="Production",IF(X103="Yes","Released","Review release"),IF(P103="Rolled back","Rolled back",IF(OR(Q103&lt;&gt;"",COUNTIFS(J103:N103,"Blocked")&gt;0),"Blocked",IF(OR(M103="Failed",N103="Rejected",AND(ISNUMBER(O103),O103&gt;0)),"Rework",IF(X103="Yes","Ready for release",IF(N103="Accepted","Verify completion",IF(OR(M103="Passed",M103="In progress",N103="In review"),"Testing / review",IF(OR(COUNTIFS(J103:L103,"In progress")&gt;0,COUNTIFS(J103:L103,"In review")&gt;0,COUNTIFS(J103:L103,"Done")&gt;0),"In progress",IF(COUNTIFS(J103:N103,"Not assessed")=5,"Not assessed","Planned")))))))))</f>
        <v/>
      </c>
      <c r="X103" s="15">
        <f>IF(AND(J103="Done",OR(K103="Done",K103="Not required"),OR(L103="Done",L103="Not required"),M103="Passed",N103="Accepted",ISNUMBER(O103),O103=0,Q103="",F103&lt;&gt;"",S103&lt;&gt;"",T103&lt;&gt;"",ISNUMBER(U103),OR(AND(K103&lt;&gt;"Not required",L103&lt;&gt;"Not required"),V103&lt;&gt;""),P103&lt;&gt;"Rolled back"),"Yes","No")</f>
        <v/>
      </c>
      <c r="Y103" s="15">
        <f>IF(X103="Yes","Completed",IF(H103="","No deadline",IF(NOT(ISNUMBER(H103)),"Check date",IF(H103&lt;Overview!$I$3,"Overdue",IF(H103&lt;=Overview!$I$3+7,"Due soon","On track")))))</f>
        <v/>
      </c>
      <c r="Z103" s="37">
        <f>IF(AND(X103&lt;&gt;"Yes",ISNUMBER(H103)),MAX(0,Overview!$I$3-H103),0)</f>
        <v/>
      </c>
      <c r="AA103" s="5" t="inlineStr">
        <is>
          <t>Academic Coordinator</t>
        </is>
      </c>
      <c r="AB103" t="inlineStr">
        <is>
          <t>-</t>
        </is>
      </c>
    </row>
    <row r="104" ht="35" customHeight="1">
      <c r="A104" s="2" t="inlineStr">
        <is>
          <t>SCR-098</t>
        </is>
      </c>
      <c r="B104" s="5" t="inlineStr">
        <is>
          <t>Curriculum</t>
        </is>
      </c>
      <c r="C104" s="5" t="inlineStr">
        <is>
          <t>Academics &amp; Curriculum</t>
        </is>
      </c>
      <c r="D104" s="2" t="inlineStr">
        <is>
          <t>MVP</t>
        </is>
      </c>
      <c r="E104" s="2" t="inlineStr">
        <is>
          <t>US-0195, US-0196</t>
        </is>
      </c>
      <c r="F104" s="24" t="n"/>
      <c r="G104" s="24" t="n"/>
      <c r="H104" s="32" t="n"/>
      <c r="I104" s="2" t="inlineStr">
        <is>
          <t>Ready</t>
        </is>
      </c>
      <c r="J104" s="38" t="inlineStr">
        <is>
          <t>In progress</t>
        </is>
      </c>
      <c r="K104" s="38" t="inlineStr">
        <is>
          <t>In progress</t>
        </is>
      </c>
      <c r="L104" s="24" t="inlineStr">
        <is>
          <t>Not assessed</t>
        </is>
      </c>
      <c r="M104" s="24" t="inlineStr">
        <is>
          <t>Not assessed</t>
        </is>
      </c>
      <c r="N104" s="24" t="inlineStr">
        <is>
          <t>Not assessed</t>
        </is>
      </c>
      <c r="O104" s="35" t="n"/>
      <c r="P104" s="24" t="inlineStr">
        <is>
          <t>Not scheduled</t>
        </is>
      </c>
      <c r="Q104" s="24" t="n"/>
      <c r="R104" s="24" t="inlineStr">
        <is>
          <t>No curriculum entity with board and status</t>
        </is>
      </c>
      <c r="S104" s="24" t="n"/>
      <c r="T104" s="24" t="n"/>
      <c r="U104" s="36" t="n">
        <v>46285</v>
      </c>
      <c r="V104" s="24" t="n"/>
      <c r="W104" s="15">
        <f>IF(P104="Production",IF(X104="Yes","Released","Review release"),IF(P104="Rolled back","Rolled back",IF(OR(Q104&lt;&gt;"",COUNTIFS(J104:N104,"Blocked")&gt;0),"Blocked",IF(OR(M104="Failed",N104="Rejected",AND(ISNUMBER(O104),O104&gt;0)),"Rework",IF(X104="Yes","Ready for release",IF(N104="Accepted","Verify completion",IF(OR(M104="Passed",M104="In progress",N104="In review"),"Testing / review",IF(OR(COUNTIFS(J104:L104,"In progress")&gt;0,COUNTIFS(J104:L104,"In review")&gt;0,COUNTIFS(J104:L104,"Done")&gt;0),"In progress",IF(COUNTIFS(J104:N104,"Not assessed")=5,"Not assessed","Planned")))))))))</f>
        <v/>
      </c>
      <c r="X104" s="15">
        <f>IF(AND(J104="Done",OR(K104="Done",K104="Not required"),OR(L104="Done",L104="Not required"),M104="Passed",N104="Accepted",ISNUMBER(O104),O104=0,Q104="",F104&lt;&gt;"",S104&lt;&gt;"",T104&lt;&gt;"",ISNUMBER(U104),OR(AND(K104&lt;&gt;"Not required",L104&lt;&gt;"Not required"),V104&lt;&gt;""),P104&lt;&gt;"Rolled back"),"Yes","No")</f>
        <v/>
      </c>
      <c r="Y104" s="15">
        <f>IF(X104="Yes","Completed",IF(H104="","No deadline",IF(NOT(ISNUMBER(H104)),"Check date",IF(H104&lt;Overview!$I$3,"Overdue",IF(H104&lt;=Overview!$I$3+7,"Due soon","On track")))))</f>
        <v/>
      </c>
      <c r="Z104" s="37">
        <f>IF(AND(X104&lt;&gt;"Yes",ISNUMBER(H104)),MAX(0,Overview!$I$3-H104),0)</f>
        <v/>
      </c>
      <c r="AA104" s="5" t="inlineStr">
        <is>
          <t>Academic Coordinator</t>
        </is>
      </c>
      <c r="AB104" t="inlineStr">
        <is>
          <t>/school/syllabus</t>
        </is>
      </c>
    </row>
    <row r="105" ht="35" customHeight="1">
      <c r="A105" s="2" t="inlineStr">
        <is>
          <t>SCR-099</t>
        </is>
      </c>
      <c r="B105" s="5" t="inlineStr">
        <is>
          <t>Curriculum Details</t>
        </is>
      </c>
      <c r="C105" s="5" t="inlineStr">
        <is>
          <t>Academics &amp; Curriculum</t>
        </is>
      </c>
      <c r="D105" s="2" t="inlineStr">
        <is>
          <t>MVP</t>
        </is>
      </c>
      <c r="E105" s="2" t="inlineStr">
        <is>
          <t>US-0197, US-0198</t>
        </is>
      </c>
      <c r="F105" s="24" t="n"/>
      <c r="G105" s="24" t="n"/>
      <c r="H105" s="32" t="n"/>
      <c r="I105" s="2" t="inlineStr">
        <is>
          <t>Ready</t>
        </is>
      </c>
      <c r="J105" s="33" t="inlineStr">
        <is>
          <t>Done</t>
        </is>
      </c>
      <c r="K105" s="33" t="inlineStr">
        <is>
          <t>Done</t>
        </is>
      </c>
      <c r="L105" s="24" t="inlineStr">
        <is>
          <t>Not assessed</t>
        </is>
      </c>
      <c r="M105" s="24" t="inlineStr">
        <is>
          <t>Not assessed</t>
        </is>
      </c>
      <c r="N105" s="24" t="inlineStr">
        <is>
          <t>Not assessed</t>
        </is>
      </c>
      <c r="O105" s="35" t="n"/>
      <c r="P105" s="24" t="inlineStr">
        <is>
          <t>Not scheduled</t>
        </is>
      </c>
      <c r="Q105" s="24" t="n"/>
      <c r="R105" s="24" t="inlineStr">
        <is>
          <t>Chapters, topics, progress, copy</t>
        </is>
      </c>
      <c r="S105" s="24" t="n"/>
      <c r="T105" s="24" t="n"/>
      <c r="U105" s="36" t="n">
        <v>46285</v>
      </c>
      <c r="V105" s="24" t="n"/>
      <c r="W105" s="15">
        <f>IF(P105="Production",IF(X105="Yes","Released","Review release"),IF(P105="Rolled back","Rolled back",IF(OR(Q105&lt;&gt;"",COUNTIFS(J105:N105,"Blocked")&gt;0),"Blocked",IF(OR(M105="Failed",N105="Rejected",AND(ISNUMBER(O105),O105&gt;0)),"Rework",IF(X105="Yes","Ready for release",IF(N105="Accepted","Verify completion",IF(OR(M105="Passed",M105="In progress",N105="In review"),"Testing / review",IF(OR(COUNTIFS(J105:L105,"In progress")&gt;0,COUNTIFS(J105:L105,"In review")&gt;0,COUNTIFS(J105:L105,"Done")&gt;0),"In progress",IF(COUNTIFS(J105:N105,"Not assessed")=5,"Not assessed","Planned")))))))))</f>
        <v/>
      </c>
      <c r="X105" s="15">
        <f>IF(AND(J105="Done",OR(K105="Done",K105="Not required"),OR(L105="Done",L105="Not required"),M105="Passed",N105="Accepted",ISNUMBER(O105),O105=0,Q105="",F105&lt;&gt;"",S105&lt;&gt;"",T105&lt;&gt;"",ISNUMBER(U105),OR(AND(K105&lt;&gt;"Not required",L105&lt;&gt;"Not required"),V105&lt;&gt;""),P105&lt;&gt;"Rolled back"),"Yes","No")</f>
        <v/>
      </c>
      <c r="Y105" s="15">
        <f>IF(X105="Yes","Completed",IF(H105="","No deadline",IF(NOT(ISNUMBER(H105)),"Check date",IF(H105&lt;Overview!$I$3,"Overdue",IF(H105&lt;=Overview!$I$3+7,"Due soon","On track")))))</f>
        <v/>
      </c>
      <c r="Z105" s="37">
        <f>IF(AND(X105&lt;&gt;"Yes",ISNUMBER(H105)),MAX(0,Overview!$I$3-H105),0)</f>
        <v/>
      </c>
      <c r="AA105" s="5" t="inlineStr">
        <is>
          <t>Academic Coordinator</t>
        </is>
      </c>
      <c r="AB105" t="inlineStr">
        <is>
          <t>/school/syllabus/[id]</t>
        </is>
      </c>
    </row>
    <row r="106" ht="35" customHeight="1">
      <c r="A106" s="2" t="inlineStr">
        <is>
          <t>SCR-100</t>
        </is>
      </c>
      <c r="B106" s="5" t="inlineStr">
        <is>
          <t>Units / Chapters / Topics</t>
        </is>
      </c>
      <c r="C106" s="5" t="inlineStr">
        <is>
          <t>Academics &amp; Curriculum</t>
        </is>
      </c>
      <c r="D106" s="2" t="inlineStr">
        <is>
          <t>MVP</t>
        </is>
      </c>
      <c r="E106" s="2" t="inlineStr">
        <is>
          <t>US-0199, US-0200</t>
        </is>
      </c>
      <c r="F106" s="24" t="n"/>
      <c r="G106" s="24" t="n"/>
      <c r="H106" s="32" t="n"/>
      <c r="I106" s="2" t="inlineStr">
        <is>
          <t>Ready</t>
        </is>
      </c>
      <c r="J106" s="33" t="inlineStr">
        <is>
          <t>Done</t>
        </is>
      </c>
      <c r="K106" s="33" t="inlineStr">
        <is>
          <t>Done</t>
        </is>
      </c>
      <c r="L106" s="24" t="inlineStr">
        <is>
          <t>Not assessed</t>
        </is>
      </c>
      <c r="M106" s="24" t="inlineStr">
        <is>
          <t>Not assessed</t>
        </is>
      </c>
      <c r="N106" s="24" t="inlineStr">
        <is>
          <t>Not assessed</t>
        </is>
      </c>
      <c r="O106" s="35" t="n"/>
      <c r="P106" s="24" t="inlineStr">
        <is>
          <t>Not scheduled</t>
        </is>
      </c>
      <c r="Q106" s="24" t="n"/>
      <c r="R106" s="24" t="inlineStr">
        <is>
          <t>Chapter and topic tree, reorder, periods</t>
        </is>
      </c>
      <c r="S106" s="24" t="n"/>
      <c r="T106" s="24" t="n"/>
      <c r="U106" s="36" t="n">
        <v>46285</v>
      </c>
      <c r="V106" s="24" t="n"/>
      <c r="W106" s="15">
        <f>IF(P106="Production",IF(X106="Yes","Released","Review release"),IF(P106="Rolled back","Rolled back",IF(OR(Q106&lt;&gt;"",COUNTIFS(J106:N106,"Blocked")&gt;0),"Blocked",IF(OR(M106="Failed",N106="Rejected",AND(ISNUMBER(O106),O106&gt;0)),"Rework",IF(X106="Yes","Ready for release",IF(N106="Accepted","Verify completion",IF(OR(M106="Passed",M106="In progress",N106="In review"),"Testing / review",IF(OR(COUNTIFS(J106:L106,"In progress")&gt;0,COUNTIFS(J106:L106,"In review")&gt;0,COUNTIFS(J106:L106,"Done")&gt;0),"In progress",IF(COUNTIFS(J106:N106,"Not assessed")=5,"Not assessed","Planned")))))))))</f>
        <v/>
      </c>
      <c r="X106" s="15">
        <f>IF(AND(J106="Done",OR(K106="Done",K106="Not required"),OR(L106="Done",L106="Not required"),M106="Passed",N106="Accepted",ISNUMBER(O106),O106=0,Q106="",F106&lt;&gt;"",S106&lt;&gt;"",T106&lt;&gt;"",ISNUMBER(U106),OR(AND(K106&lt;&gt;"Not required",L106&lt;&gt;"Not required"),V106&lt;&gt;""),P106&lt;&gt;"Rolled back"),"Yes","No")</f>
        <v/>
      </c>
      <c r="Y106" s="15">
        <f>IF(X106="Yes","Completed",IF(H106="","No deadline",IF(NOT(ISNUMBER(H106)),"Check date",IF(H106&lt;Overview!$I$3,"Overdue",IF(H106&lt;=Overview!$I$3+7,"Due soon","On track")))))</f>
        <v/>
      </c>
      <c r="Z106" s="37">
        <f>IF(AND(X106&lt;&gt;"Yes",ISNUMBER(H106)),MAX(0,Overview!$I$3-H106),0)</f>
        <v/>
      </c>
      <c r="AA106" s="5" t="inlineStr">
        <is>
          <t>Academic Coordinator</t>
        </is>
      </c>
      <c r="AB106" t="inlineStr">
        <is>
          <t>/school/syllabus/[id]</t>
        </is>
      </c>
    </row>
    <row r="107" ht="35" customHeight="1">
      <c r="A107" s="2" t="inlineStr">
        <is>
          <t>SCR-101</t>
        </is>
      </c>
      <c r="B107" s="5" t="inlineStr">
        <is>
          <t>Learning Outcomes</t>
        </is>
      </c>
      <c r="C107" s="5" t="inlineStr">
        <is>
          <t>Academics &amp; Curriculum</t>
        </is>
      </c>
      <c r="D107" s="2" t="inlineStr">
        <is>
          <t>Phase 2</t>
        </is>
      </c>
      <c r="E107" s="2" t="inlineStr">
        <is>
          <t>US-0201, US-0202</t>
        </is>
      </c>
      <c r="F107" s="24" t="n"/>
      <c r="G107" s="24" t="n"/>
      <c r="H107" s="32" t="n"/>
      <c r="I107" s="2" t="inlineStr">
        <is>
          <t>Ready</t>
        </is>
      </c>
      <c r="J107" s="33" t="inlineStr">
        <is>
          <t>Done</t>
        </is>
      </c>
      <c r="K107" s="33" t="inlineStr">
        <is>
          <t>Done</t>
        </is>
      </c>
      <c r="L107" s="24" t="inlineStr">
        <is>
          <t>Not assessed</t>
        </is>
      </c>
      <c r="M107" s="24" t="inlineStr">
        <is>
          <t>Not assessed</t>
        </is>
      </c>
      <c r="N107" s="24" t="inlineStr">
        <is>
          <t>Not assessed</t>
        </is>
      </c>
      <c r="O107" s="35" t="n"/>
      <c r="P107" s="24" t="inlineStr">
        <is>
          <t>Not scheduled</t>
        </is>
      </c>
      <c r="Q107" s="24" t="n"/>
      <c r="R107" s="24" t="inlineStr">
        <is>
          <t>Outcomes tab with coverage (in a tab, complete)</t>
        </is>
      </c>
      <c r="S107" s="24" t="n"/>
      <c r="T107" s="24" t="n"/>
      <c r="U107" s="36" t="n">
        <v>46285</v>
      </c>
      <c r="V107" s="24" t="n"/>
      <c r="W107" s="15">
        <f>IF(P107="Production",IF(X107="Yes","Released","Review release"),IF(P107="Rolled back","Rolled back",IF(OR(Q107&lt;&gt;"",COUNTIFS(J107:N107,"Blocked")&gt;0),"Blocked",IF(OR(M107="Failed",N107="Rejected",AND(ISNUMBER(O107),O107&gt;0)),"Rework",IF(X107="Yes","Ready for release",IF(N107="Accepted","Verify completion",IF(OR(M107="Passed",M107="In progress",N107="In review"),"Testing / review",IF(OR(COUNTIFS(J107:L107,"In progress")&gt;0,COUNTIFS(J107:L107,"In review")&gt;0,COUNTIFS(J107:L107,"Done")&gt;0),"In progress",IF(COUNTIFS(J107:N107,"Not assessed")=5,"Not assessed","Planned")))))))))</f>
        <v/>
      </c>
      <c r="X107" s="15">
        <f>IF(AND(J107="Done",OR(K107="Done",K107="Not required"),OR(L107="Done",L107="Not required"),M107="Passed",N107="Accepted",ISNUMBER(O107),O107=0,Q107="",F107&lt;&gt;"",S107&lt;&gt;"",T107&lt;&gt;"",ISNUMBER(U107),OR(AND(K107&lt;&gt;"Not required",L107&lt;&gt;"Not required"),V107&lt;&gt;""),P107&lt;&gt;"Rolled back"),"Yes","No")</f>
        <v/>
      </c>
      <c r="Y107" s="15">
        <f>IF(X107="Yes","Completed",IF(H107="","No deadline",IF(NOT(ISNUMBER(H107)),"Check date",IF(H107&lt;Overview!$I$3,"Overdue",IF(H107&lt;=Overview!$I$3+7,"Due soon","On track")))))</f>
        <v/>
      </c>
      <c r="Z107" s="37">
        <f>IF(AND(X107&lt;&gt;"Yes",ISNUMBER(H107)),MAX(0,Overview!$I$3-H107),0)</f>
        <v/>
      </c>
      <c r="AA107" s="5" t="inlineStr">
        <is>
          <t>Academic Coordinator</t>
        </is>
      </c>
      <c r="AB107" t="inlineStr">
        <is>
          <t>/school/syllabus/[id]/curriculum</t>
        </is>
      </c>
    </row>
    <row r="108" ht="35" customHeight="1">
      <c r="A108" s="2" t="inlineStr">
        <is>
          <t>SCR-102</t>
        </is>
      </c>
      <c r="B108" s="5" t="inlineStr">
        <is>
          <t>Lesson Plans</t>
        </is>
      </c>
      <c r="C108" s="5" t="inlineStr">
        <is>
          <t>Academics &amp; Curriculum</t>
        </is>
      </c>
      <c r="D108" s="2" t="inlineStr">
        <is>
          <t>Phase 2</t>
        </is>
      </c>
      <c r="E108" s="2" t="inlineStr">
        <is>
          <t>US-0203, US-0204</t>
        </is>
      </c>
      <c r="F108" s="24" t="n"/>
      <c r="G108" s="24" t="n"/>
      <c r="H108" s="32" t="n"/>
      <c r="I108" s="2" t="inlineStr">
        <is>
          <t>Ready</t>
        </is>
      </c>
      <c r="J108" s="33" t="inlineStr">
        <is>
          <t>Done</t>
        </is>
      </c>
      <c r="K108" s="33" t="inlineStr">
        <is>
          <t>Done</t>
        </is>
      </c>
      <c r="L108" s="24" t="inlineStr">
        <is>
          <t>Not assessed</t>
        </is>
      </c>
      <c r="M108" s="24" t="inlineStr">
        <is>
          <t>Not assessed</t>
        </is>
      </c>
      <c r="N108" s="24" t="inlineStr">
        <is>
          <t>Not assessed</t>
        </is>
      </c>
      <c r="O108" s="35" t="n"/>
      <c r="P108" s="24" t="inlineStr">
        <is>
          <t>Not scheduled</t>
        </is>
      </c>
      <c r="Q108" s="24" t="n"/>
      <c r="R108" s="24" t="inlineStr">
        <is>
          <t>List with status filter</t>
        </is>
      </c>
      <c r="S108" s="24" t="n"/>
      <c r="T108" s="24" t="n"/>
      <c r="U108" s="36" t="n">
        <v>46285</v>
      </c>
      <c r="V108" s="24" t="n"/>
      <c r="W108" s="15">
        <f>IF(P108="Production",IF(X108="Yes","Released","Review release"),IF(P108="Rolled back","Rolled back",IF(OR(Q108&lt;&gt;"",COUNTIFS(J108:N108,"Blocked")&gt;0),"Blocked",IF(OR(M108="Failed",N108="Rejected",AND(ISNUMBER(O108),O108&gt;0)),"Rework",IF(X108="Yes","Ready for release",IF(N108="Accepted","Verify completion",IF(OR(M108="Passed",M108="In progress",N108="In review"),"Testing / review",IF(OR(COUNTIFS(J108:L108,"In progress")&gt;0,COUNTIFS(J108:L108,"In review")&gt;0,COUNTIFS(J108:L108,"Done")&gt;0),"In progress",IF(COUNTIFS(J108:N108,"Not assessed")=5,"Not assessed","Planned")))))))))</f>
        <v/>
      </c>
      <c r="X108" s="15">
        <f>IF(AND(J108="Done",OR(K108="Done",K108="Not required"),OR(L108="Done",L108="Not required"),M108="Passed",N108="Accepted",ISNUMBER(O108),O108=0,Q108="",F108&lt;&gt;"",S108&lt;&gt;"",T108&lt;&gt;"",ISNUMBER(U108),OR(AND(K108&lt;&gt;"Not required",L108&lt;&gt;"Not required"),V108&lt;&gt;""),P108&lt;&gt;"Rolled back"),"Yes","No")</f>
        <v/>
      </c>
      <c r="Y108" s="15">
        <f>IF(X108="Yes","Completed",IF(H108="","No deadline",IF(NOT(ISNUMBER(H108)),"Check date",IF(H108&lt;Overview!$I$3,"Overdue",IF(H108&lt;=Overview!$I$3+7,"Due soon","On track")))))</f>
        <v/>
      </c>
      <c r="Z108" s="37">
        <f>IF(AND(X108&lt;&gt;"Yes",ISNUMBER(H108)),MAX(0,Overview!$I$3-H108),0)</f>
        <v/>
      </c>
      <c r="AA108" s="5" t="inlineStr">
        <is>
          <t>Academic Coordinator</t>
        </is>
      </c>
      <c r="AB108" t="inlineStr">
        <is>
          <t>/teacher/lesson-plans</t>
        </is>
      </c>
    </row>
    <row r="109" ht="35" customHeight="1">
      <c r="A109" s="2" t="inlineStr">
        <is>
          <t>SCR-103</t>
        </is>
      </c>
      <c r="B109" s="5" t="inlineStr">
        <is>
          <t>Create / Edit Lesson Plan</t>
        </is>
      </c>
      <c r="C109" s="5" t="inlineStr">
        <is>
          <t>Academics &amp; Curriculum</t>
        </is>
      </c>
      <c r="D109" s="2" t="inlineStr">
        <is>
          <t>Phase 2</t>
        </is>
      </c>
      <c r="E109" s="2" t="inlineStr">
        <is>
          <t>US-0205, US-0206</t>
        </is>
      </c>
      <c r="F109" s="24" t="n"/>
      <c r="G109" s="24" t="n"/>
      <c r="H109" s="32" t="n"/>
      <c r="I109" s="2" t="inlineStr">
        <is>
          <t>Ready</t>
        </is>
      </c>
      <c r="J109" s="33" t="inlineStr">
        <is>
          <t>Done</t>
        </is>
      </c>
      <c r="K109" s="33" t="inlineStr">
        <is>
          <t>Done</t>
        </is>
      </c>
      <c r="L109" s="24" t="inlineStr">
        <is>
          <t>Not assessed</t>
        </is>
      </c>
      <c r="M109" s="24" t="inlineStr">
        <is>
          <t>Not assessed</t>
        </is>
      </c>
      <c r="N109" s="24" t="inlineStr">
        <is>
          <t>Not assessed</t>
        </is>
      </c>
      <c r="O109" s="35" t="n"/>
      <c r="P109" s="24" t="inlineStr">
        <is>
          <t>Not scheduled</t>
        </is>
      </c>
      <c r="Q109" s="24" t="n"/>
      <c r="R109" s="24" t="inlineStr">
        <is>
          <t>Create and edit plan modal</t>
        </is>
      </c>
      <c r="S109" s="24" t="n"/>
      <c r="T109" s="24" t="n"/>
      <c r="U109" s="36" t="n">
        <v>46285</v>
      </c>
      <c r="V109" s="24" t="n"/>
      <c r="W109" s="15">
        <f>IF(P109="Production",IF(X109="Yes","Released","Review release"),IF(P109="Rolled back","Rolled back",IF(OR(Q109&lt;&gt;"",COUNTIFS(J109:N109,"Blocked")&gt;0),"Blocked",IF(OR(M109="Failed",N109="Rejected",AND(ISNUMBER(O109),O109&gt;0)),"Rework",IF(X109="Yes","Ready for release",IF(N109="Accepted","Verify completion",IF(OR(M109="Passed",M109="In progress",N109="In review"),"Testing / review",IF(OR(COUNTIFS(J109:L109,"In progress")&gt;0,COUNTIFS(J109:L109,"In review")&gt;0,COUNTIFS(J109:L109,"Done")&gt;0),"In progress",IF(COUNTIFS(J109:N109,"Not assessed")=5,"Not assessed","Planned")))))))))</f>
        <v/>
      </c>
      <c r="X109" s="15">
        <f>IF(AND(J109="Done",OR(K109="Done",K109="Not required"),OR(L109="Done",L109="Not required"),M109="Passed",N109="Accepted",ISNUMBER(O109),O109=0,Q109="",F109&lt;&gt;"",S109&lt;&gt;"",T109&lt;&gt;"",ISNUMBER(U109),OR(AND(K109&lt;&gt;"Not required",L109&lt;&gt;"Not required"),V109&lt;&gt;""),P109&lt;&gt;"Rolled back"),"Yes","No")</f>
        <v/>
      </c>
      <c r="Y109" s="15">
        <f>IF(X109="Yes","Completed",IF(H109="","No deadline",IF(NOT(ISNUMBER(H109)),"Check date",IF(H109&lt;Overview!$I$3,"Overdue",IF(H109&lt;=Overview!$I$3+7,"Due soon","On track")))))</f>
        <v/>
      </c>
      <c r="Z109" s="37">
        <f>IF(AND(X109&lt;&gt;"Yes",ISNUMBER(H109)),MAX(0,Overview!$I$3-H109),0)</f>
        <v/>
      </c>
      <c r="AA109" s="5" t="inlineStr">
        <is>
          <t>Academic Coordinator</t>
        </is>
      </c>
      <c r="AB109" t="inlineStr">
        <is>
          <t>/teacher/lesson-plans</t>
        </is>
      </c>
    </row>
    <row r="110" ht="35" customHeight="1">
      <c r="A110" s="2" t="inlineStr">
        <is>
          <t>SCR-104</t>
        </is>
      </c>
      <c r="B110" s="5" t="inlineStr">
        <is>
          <t>Lesson Plan Review &amp; Approval</t>
        </is>
      </c>
      <c r="C110" s="5" t="inlineStr">
        <is>
          <t>Academics &amp; Curriculum</t>
        </is>
      </c>
      <c r="D110" s="2" t="inlineStr">
        <is>
          <t>Phase 2</t>
        </is>
      </c>
      <c r="E110" s="2" t="inlineStr">
        <is>
          <t>US-0207, US-0208</t>
        </is>
      </c>
      <c r="F110" s="24" t="n"/>
      <c r="G110" s="24" t="n"/>
      <c r="H110" s="32" t="n"/>
      <c r="I110" s="2" t="inlineStr">
        <is>
          <t>Ready</t>
        </is>
      </c>
      <c r="J110" s="33" t="inlineStr">
        <is>
          <t>Done</t>
        </is>
      </c>
      <c r="K110" s="33" t="inlineStr">
        <is>
          <t>Done</t>
        </is>
      </c>
      <c r="L110" s="24" t="inlineStr">
        <is>
          <t>Not assessed</t>
        </is>
      </c>
      <c r="M110" s="24" t="inlineStr">
        <is>
          <t>Not assessed</t>
        </is>
      </c>
      <c r="N110" s="24" t="inlineStr">
        <is>
          <t>Not assessed</t>
        </is>
      </c>
      <c r="O110" s="35" t="n"/>
      <c r="P110" s="24" t="inlineStr">
        <is>
          <t>Not scheduled</t>
        </is>
      </c>
      <c r="Q110" s="24" t="n"/>
      <c r="R110" s="24" t="inlineStr">
        <is>
          <t>Reviewer mode, approve or return</t>
        </is>
      </c>
      <c r="S110" s="24" t="n"/>
      <c r="T110" s="24" t="n"/>
      <c r="U110" s="36" t="n">
        <v>46285</v>
      </c>
      <c r="V110" s="24" t="n"/>
      <c r="W110" s="15">
        <f>IF(P110="Production",IF(X110="Yes","Released","Review release"),IF(P110="Rolled back","Rolled back",IF(OR(Q110&lt;&gt;"",COUNTIFS(J110:N110,"Blocked")&gt;0),"Blocked",IF(OR(M110="Failed",N110="Rejected",AND(ISNUMBER(O110),O110&gt;0)),"Rework",IF(X110="Yes","Ready for release",IF(N110="Accepted","Verify completion",IF(OR(M110="Passed",M110="In progress",N110="In review"),"Testing / review",IF(OR(COUNTIFS(J110:L110,"In progress")&gt;0,COUNTIFS(J110:L110,"In review")&gt;0,COUNTIFS(J110:L110,"Done")&gt;0),"In progress",IF(COUNTIFS(J110:N110,"Not assessed")=5,"Not assessed","Planned")))))))))</f>
        <v/>
      </c>
      <c r="X110" s="15">
        <f>IF(AND(J110="Done",OR(K110="Done",K110="Not required"),OR(L110="Done",L110="Not required"),M110="Passed",N110="Accepted",ISNUMBER(O110),O110=0,Q110="",F110&lt;&gt;"",S110&lt;&gt;"",T110&lt;&gt;"",ISNUMBER(U110),OR(AND(K110&lt;&gt;"Not required",L110&lt;&gt;"Not required"),V110&lt;&gt;""),P110&lt;&gt;"Rolled back"),"Yes","No")</f>
        <v/>
      </c>
      <c r="Y110" s="15">
        <f>IF(X110="Yes","Completed",IF(H110="","No deadline",IF(NOT(ISNUMBER(H110)),"Check date",IF(H110&lt;Overview!$I$3,"Overdue",IF(H110&lt;=Overview!$I$3+7,"Due soon","On track")))))</f>
        <v/>
      </c>
      <c r="Z110" s="37">
        <f>IF(AND(X110&lt;&gt;"Yes",ISNUMBER(H110)),MAX(0,Overview!$I$3-H110),0)</f>
        <v/>
      </c>
      <c r="AA110" s="5" t="inlineStr">
        <is>
          <t>Academic Coordinator</t>
        </is>
      </c>
      <c r="AB110" t="inlineStr">
        <is>
          <t>/principal/lesson-plans</t>
        </is>
      </c>
    </row>
    <row r="111" ht="35" customHeight="1">
      <c r="A111" s="2" t="inlineStr">
        <is>
          <t>SCR-105</t>
        </is>
      </c>
      <c r="B111" s="5" t="inlineStr">
        <is>
          <t>Syllabus Progress</t>
        </is>
      </c>
      <c r="C111" s="5" t="inlineStr">
        <is>
          <t>Academics &amp; Curriculum</t>
        </is>
      </c>
      <c r="D111" s="2" t="inlineStr">
        <is>
          <t>Phase 3</t>
        </is>
      </c>
      <c r="E111" s="2" t="inlineStr">
        <is>
          <t>US-0209, US-0210</t>
        </is>
      </c>
      <c r="F111" s="24" t="n"/>
      <c r="G111" s="24" t="n"/>
      <c r="H111" s="32" t="n"/>
      <c r="I111" s="2" t="inlineStr">
        <is>
          <t>Ready</t>
        </is>
      </c>
      <c r="J111" s="33" t="inlineStr">
        <is>
          <t>Done</t>
        </is>
      </c>
      <c r="K111" s="33" t="inlineStr">
        <is>
          <t>Done</t>
        </is>
      </c>
      <c r="L111" s="24" t="inlineStr">
        <is>
          <t>Not assessed</t>
        </is>
      </c>
      <c r="M111" s="24" t="inlineStr">
        <is>
          <t>Not assessed</t>
        </is>
      </c>
      <c r="N111" s="24" t="inlineStr">
        <is>
          <t>Not assessed</t>
        </is>
      </c>
      <c r="O111" s="35" t="n"/>
      <c r="P111" s="24" t="inlineStr">
        <is>
          <t>Not scheduled</t>
        </is>
      </c>
      <c r="Q111" s="24" t="n"/>
      <c r="R111" s="24" t="inlineStr">
        <is>
          <t>Per-section progress and behind-plan count</t>
        </is>
      </c>
      <c r="S111" s="24" t="n"/>
      <c r="T111" s="24" t="n"/>
      <c r="U111" s="36" t="n">
        <v>46285</v>
      </c>
      <c r="V111" s="24" t="n"/>
      <c r="W111" s="15">
        <f>IF(P111="Production",IF(X111="Yes","Released","Review release"),IF(P111="Rolled back","Rolled back",IF(OR(Q111&lt;&gt;"",COUNTIFS(J111:N111,"Blocked")&gt;0),"Blocked",IF(OR(M111="Failed",N111="Rejected",AND(ISNUMBER(O111),O111&gt;0)),"Rework",IF(X111="Yes","Ready for release",IF(N111="Accepted","Verify completion",IF(OR(M111="Passed",M111="In progress",N111="In review"),"Testing / review",IF(OR(COUNTIFS(J111:L111,"In progress")&gt;0,COUNTIFS(J111:L111,"In review")&gt;0,COUNTIFS(J111:L111,"Done")&gt;0),"In progress",IF(COUNTIFS(J111:N111,"Not assessed")=5,"Not assessed","Planned")))))))))</f>
        <v/>
      </c>
      <c r="X111" s="15">
        <f>IF(AND(J111="Done",OR(K111="Done",K111="Not required"),OR(L111="Done",L111="Not required"),M111="Passed",N111="Accepted",ISNUMBER(O111),O111=0,Q111="",F111&lt;&gt;"",S111&lt;&gt;"",T111&lt;&gt;"",ISNUMBER(U111),OR(AND(K111&lt;&gt;"Not required",L111&lt;&gt;"Not required"),V111&lt;&gt;""),P111&lt;&gt;"Rolled back"),"Yes","No")</f>
        <v/>
      </c>
      <c r="Y111" s="15">
        <f>IF(X111="Yes","Completed",IF(H111="","No deadline",IF(NOT(ISNUMBER(H111)),"Check date",IF(H111&lt;Overview!$I$3,"Overdue",IF(H111&lt;=Overview!$I$3+7,"Due soon","On track")))))</f>
        <v/>
      </c>
      <c r="Z111" s="37">
        <f>IF(AND(X111&lt;&gt;"Yes",ISNUMBER(H111)),MAX(0,Overview!$I$3-H111),0)</f>
        <v/>
      </c>
      <c r="AA111" s="5" t="inlineStr">
        <is>
          <t>Academic Coordinator</t>
        </is>
      </c>
      <c r="AB111" t="inlineStr">
        <is>
          <t>/school/syllabus</t>
        </is>
      </c>
    </row>
    <row r="112" ht="35" customHeight="1">
      <c r="A112" s="2" t="inlineStr">
        <is>
          <t>SCR-106</t>
        </is>
      </c>
      <c r="B112" s="5" t="inlineStr">
        <is>
          <t>Teaching Resources</t>
        </is>
      </c>
      <c r="C112" s="5" t="inlineStr">
        <is>
          <t>Academics &amp; Curriculum</t>
        </is>
      </c>
      <c r="D112" s="2" t="inlineStr">
        <is>
          <t>Phase 3</t>
        </is>
      </c>
      <c r="E112" s="2" t="inlineStr">
        <is>
          <t>US-0211, US-0212</t>
        </is>
      </c>
      <c r="F112" s="24" t="n"/>
      <c r="G112" s="24" t="n"/>
      <c r="H112" s="32" t="n"/>
      <c r="I112" s="2" t="inlineStr">
        <is>
          <t>Ready</t>
        </is>
      </c>
      <c r="J112" s="33" t="inlineStr">
        <is>
          <t>Done</t>
        </is>
      </c>
      <c r="K112" s="33" t="inlineStr">
        <is>
          <t>Done</t>
        </is>
      </c>
      <c r="L112" s="24" t="inlineStr">
        <is>
          <t>Not assessed</t>
        </is>
      </c>
      <c r="M112" s="24" t="inlineStr">
        <is>
          <t>Not assessed</t>
        </is>
      </c>
      <c r="N112" s="24" t="inlineStr">
        <is>
          <t>Not assessed</t>
        </is>
      </c>
      <c r="O112" s="35" t="n"/>
      <c r="P112" s="24" t="inlineStr">
        <is>
          <t>Not scheduled</t>
        </is>
      </c>
      <c r="Q112" s="24" t="n"/>
      <c r="R112" s="24" t="inlineStr">
        <is>
          <t>Resources tab, file or link (in a tab, complete)</t>
        </is>
      </c>
      <c r="S112" s="24" t="n"/>
      <c r="T112" s="24" t="n"/>
      <c r="U112" s="36" t="n">
        <v>46285</v>
      </c>
      <c r="V112" s="24" t="n"/>
      <c r="W112" s="15">
        <f>IF(P112="Production",IF(X112="Yes","Released","Review release"),IF(P112="Rolled back","Rolled back",IF(OR(Q112&lt;&gt;"",COUNTIFS(J112:N112,"Blocked")&gt;0),"Blocked",IF(OR(M112="Failed",N112="Rejected",AND(ISNUMBER(O112),O112&gt;0)),"Rework",IF(X112="Yes","Ready for release",IF(N112="Accepted","Verify completion",IF(OR(M112="Passed",M112="In progress",N112="In review"),"Testing / review",IF(OR(COUNTIFS(J112:L112,"In progress")&gt;0,COUNTIFS(J112:L112,"In review")&gt;0,COUNTIFS(J112:L112,"Done")&gt;0),"In progress",IF(COUNTIFS(J112:N112,"Not assessed")=5,"Not assessed","Planned")))))))))</f>
        <v/>
      </c>
      <c r="X112" s="15">
        <f>IF(AND(J112="Done",OR(K112="Done",K112="Not required"),OR(L112="Done",L112="Not required"),M112="Passed",N112="Accepted",ISNUMBER(O112),O112=0,Q112="",F112&lt;&gt;"",S112&lt;&gt;"",T112&lt;&gt;"",ISNUMBER(U112),OR(AND(K112&lt;&gt;"Not required",L112&lt;&gt;"Not required"),V112&lt;&gt;""),P112&lt;&gt;"Rolled back"),"Yes","No")</f>
        <v/>
      </c>
      <c r="Y112" s="15">
        <f>IF(X112="Yes","Completed",IF(H112="","No deadline",IF(NOT(ISNUMBER(H112)),"Check date",IF(H112&lt;Overview!$I$3,"Overdue",IF(H112&lt;=Overview!$I$3+7,"Due soon","On track")))))</f>
        <v/>
      </c>
      <c r="Z112" s="37">
        <f>IF(AND(X112&lt;&gt;"Yes",ISNUMBER(H112)),MAX(0,Overview!$I$3-H112),0)</f>
        <v/>
      </c>
      <c r="AA112" s="5" t="inlineStr">
        <is>
          <t>Academic Coordinator</t>
        </is>
      </c>
      <c r="AB112" t="inlineStr">
        <is>
          <t>/school/syllabus/[id]/curriculum</t>
        </is>
      </c>
    </row>
    <row r="113" ht="35" customHeight="1">
      <c r="A113" s="2" t="inlineStr">
        <is>
          <t>SCR-107</t>
        </is>
      </c>
      <c r="B113" s="5" t="inlineStr">
        <is>
          <t>Classroom / Room Management</t>
        </is>
      </c>
      <c r="C113" s="5" t="inlineStr">
        <is>
          <t>Academics &amp; Curriculum</t>
        </is>
      </c>
      <c r="D113" s="2" t="inlineStr">
        <is>
          <t>Phase 3</t>
        </is>
      </c>
      <c r="E113" s="2" t="inlineStr">
        <is>
          <t>US-0213, US-0214</t>
        </is>
      </c>
      <c r="F113" s="24" t="n"/>
      <c r="G113" s="24" t="n"/>
      <c r="H113" s="32" t="n"/>
      <c r="I113" s="2" t="inlineStr">
        <is>
          <t>Ready</t>
        </is>
      </c>
      <c r="J113" s="33" t="inlineStr">
        <is>
          <t>Done</t>
        </is>
      </c>
      <c r="K113" s="33" t="inlineStr">
        <is>
          <t>Done</t>
        </is>
      </c>
      <c r="L113" s="24" t="inlineStr">
        <is>
          <t>Not assessed</t>
        </is>
      </c>
      <c r="M113" s="24" t="inlineStr">
        <is>
          <t>Not assessed</t>
        </is>
      </c>
      <c r="N113" s="24" t="inlineStr">
        <is>
          <t>Not assessed</t>
        </is>
      </c>
      <c r="O113" s="35" t="n"/>
      <c r="P113" s="24" t="inlineStr">
        <is>
          <t>Not scheduled</t>
        </is>
      </c>
      <c r="Q113" s="24" t="n"/>
      <c r="R113" s="24" t="inlineStr">
        <is>
          <t>Rooms with building, floor, kind, capacity</t>
        </is>
      </c>
      <c r="S113" s="24" t="n"/>
      <c r="T113" s="24" t="n"/>
      <c r="U113" s="36" t="n">
        <v>46285</v>
      </c>
      <c r="V113" s="24" t="n"/>
      <c r="W113" s="15">
        <f>IF(P113="Production",IF(X113="Yes","Released","Review release"),IF(P113="Rolled back","Rolled back",IF(OR(Q113&lt;&gt;"",COUNTIFS(J113:N113,"Blocked")&gt;0),"Blocked",IF(OR(M113="Failed",N113="Rejected",AND(ISNUMBER(O113),O113&gt;0)),"Rework",IF(X113="Yes","Ready for release",IF(N113="Accepted","Verify completion",IF(OR(M113="Passed",M113="In progress",N113="In review"),"Testing / review",IF(OR(COUNTIFS(J113:L113,"In progress")&gt;0,COUNTIFS(J113:L113,"In review")&gt;0,COUNTIFS(J113:L113,"Done")&gt;0),"In progress",IF(COUNTIFS(J113:N113,"Not assessed")=5,"Not assessed","Planned")))))))))</f>
        <v/>
      </c>
      <c r="X113" s="15">
        <f>IF(AND(J113="Done",OR(K113="Done",K113="Not required"),OR(L113="Done",L113="Not required"),M113="Passed",N113="Accepted",ISNUMBER(O113),O113=0,Q113="",F113&lt;&gt;"",S113&lt;&gt;"",T113&lt;&gt;"",ISNUMBER(U113),OR(AND(K113&lt;&gt;"Not required",L113&lt;&gt;"Not required"),V113&lt;&gt;""),P113&lt;&gt;"Rolled back"),"Yes","No")</f>
        <v/>
      </c>
      <c r="Y113" s="15">
        <f>IF(X113="Yes","Completed",IF(H113="","No deadline",IF(NOT(ISNUMBER(H113)),"Check date",IF(H113&lt;Overview!$I$3,"Overdue",IF(H113&lt;=Overview!$I$3+7,"Due soon","On track")))))</f>
        <v/>
      </c>
      <c r="Z113" s="37">
        <f>IF(AND(X113&lt;&gt;"Yes",ISNUMBER(H113)),MAX(0,Overview!$I$3-H113),0)</f>
        <v/>
      </c>
      <c r="AA113" s="5" t="inlineStr">
        <is>
          <t>Academic Coordinator</t>
        </is>
      </c>
      <c r="AB113" t="inlineStr">
        <is>
          <t>/school/facilities</t>
        </is>
      </c>
    </row>
    <row r="114" ht="35" customHeight="1">
      <c r="A114" s="2" t="inlineStr">
        <is>
          <t>SCR-108</t>
        </is>
      </c>
      <c r="B114" s="5" t="inlineStr">
        <is>
          <t>Academic Calendar</t>
        </is>
      </c>
      <c r="C114" s="5" t="inlineStr">
        <is>
          <t>Academics &amp; Curriculum</t>
        </is>
      </c>
      <c r="D114" s="2" t="inlineStr">
        <is>
          <t>Phase 3</t>
        </is>
      </c>
      <c r="E114" s="2" t="inlineStr">
        <is>
          <t>US-0215, US-0216</t>
        </is>
      </c>
      <c r="F114" s="24" t="n"/>
      <c r="G114" s="24" t="n"/>
      <c r="H114" s="32" t="n"/>
      <c r="I114" s="2" t="inlineStr">
        <is>
          <t>Ready</t>
        </is>
      </c>
      <c r="J114" s="33" t="inlineStr">
        <is>
          <t>Done</t>
        </is>
      </c>
      <c r="K114" s="33" t="inlineStr">
        <is>
          <t>Done</t>
        </is>
      </c>
      <c r="L114" s="24" t="inlineStr">
        <is>
          <t>Not assessed</t>
        </is>
      </c>
      <c r="M114" s="24" t="inlineStr">
        <is>
          <t>Not assessed</t>
        </is>
      </c>
      <c r="N114" s="24" t="inlineStr">
        <is>
          <t>Not assessed</t>
        </is>
      </c>
      <c r="O114" s="35" t="n"/>
      <c r="P114" s="24" t="inlineStr">
        <is>
          <t>Not scheduled</t>
        </is>
      </c>
      <c r="Q114" s="24" t="n"/>
      <c r="R114" s="24" t="inlineStr">
        <is>
          <t>Events, holidays, exams and PTM in one feed</t>
        </is>
      </c>
      <c r="S114" s="24" t="n"/>
      <c r="T114" s="24" t="n"/>
      <c r="U114" s="36" t="n">
        <v>46285</v>
      </c>
      <c r="V114" s="24" t="n"/>
      <c r="W114" s="15">
        <f>IF(P114="Production",IF(X114="Yes","Released","Review release"),IF(P114="Rolled back","Rolled back",IF(OR(Q114&lt;&gt;"",COUNTIFS(J114:N114,"Blocked")&gt;0),"Blocked",IF(OR(M114="Failed",N114="Rejected",AND(ISNUMBER(O114),O114&gt;0)),"Rework",IF(X114="Yes","Ready for release",IF(N114="Accepted","Verify completion",IF(OR(M114="Passed",M114="In progress",N114="In review"),"Testing / review",IF(OR(COUNTIFS(J114:L114,"In progress")&gt;0,COUNTIFS(J114:L114,"In review")&gt;0,COUNTIFS(J114:L114,"Done")&gt;0),"In progress",IF(COUNTIFS(J114:N114,"Not assessed")=5,"Not assessed","Planned")))))))))</f>
        <v/>
      </c>
      <c r="X114" s="15">
        <f>IF(AND(J114="Done",OR(K114="Done",K114="Not required"),OR(L114="Done",L114="Not required"),M114="Passed",N114="Accepted",ISNUMBER(O114),O114=0,Q114="",F114&lt;&gt;"",S114&lt;&gt;"",T114&lt;&gt;"",ISNUMBER(U114),OR(AND(K114&lt;&gt;"Not required",L114&lt;&gt;"Not required"),V114&lt;&gt;""),P114&lt;&gt;"Rolled back"),"Yes","No")</f>
        <v/>
      </c>
      <c r="Y114" s="15">
        <f>IF(X114="Yes","Completed",IF(H114="","No deadline",IF(NOT(ISNUMBER(H114)),"Check date",IF(H114&lt;Overview!$I$3,"Overdue",IF(H114&lt;=Overview!$I$3+7,"Due soon","On track")))))</f>
        <v/>
      </c>
      <c r="Z114" s="37">
        <f>IF(AND(X114&lt;&gt;"Yes",ISNUMBER(H114)),MAX(0,Overview!$I$3-H114),0)</f>
        <v/>
      </c>
      <c r="AA114" s="5" t="inlineStr">
        <is>
          <t>Academic Coordinator</t>
        </is>
      </c>
      <c r="AB114" t="inlineStr">
        <is>
          <t>/school/calendar</t>
        </is>
      </c>
    </row>
    <row r="115" ht="35" customHeight="1">
      <c r="A115" s="2" t="inlineStr">
        <is>
          <t>SCR-109</t>
        </is>
      </c>
      <c r="B115" s="5" t="inlineStr">
        <is>
          <t>Co-Curricular Activities</t>
        </is>
      </c>
      <c r="C115" s="5" t="inlineStr">
        <is>
          <t>Academics &amp; Curriculum</t>
        </is>
      </c>
      <c r="D115" s="2" t="inlineStr">
        <is>
          <t>Phase 3</t>
        </is>
      </c>
      <c r="E115" s="2" t="inlineStr">
        <is>
          <t>US-0217, US-0218</t>
        </is>
      </c>
      <c r="F115" s="24" t="n"/>
      <c r="G115" s="24" t="n"/>
      <c r="H115" s="32" t="n"/>
      <c r="I115" s="2" t="inlineStr">
        <is>
          <t>Ready</t>
        </is>
      </c>
      <c r="J115" s="39" t="inlineStr">
        <is>
          <t>Not started</t>
        </is>
      </c>
      <c r="K115" s="39" t="inlineStr">
        <is>
          <t>Not started</t>
        </is>
      </c>
      <c r="L115" s="24" t="inlineStr">
        <is>
          <t>Not assessed</t>
        </is>
      </c>
      <c r="M115" s="24" t="inlineStr">
        <is>
          <t>Not assessed</t>
        </is>
      </c>
      <c r="N115" s="24" t="inlineStr">
        <is>
          <t>Not assessed</t>
        </is>
      </c>
      <c r="O115" s="35" t="n"/>
      <c r="P115" s="24" t="inlineStr">
        <is>
          <t>Not scheduled</t>
        </is>
      </c>
      <c r="Q115" s="24" t="n"/>
      <c r="R115" s="24" t="inlineStr">
        <is>
          <t>No activity or club register</t>
        </is>
      </c>
      <c r="S115" s="24" t="n"/>
      <c r="T115" s="24" t="n"/>
      <c r="U115" s="36" t="n">
        <v>46285</v>
      </c>
      <c r="V115" s="24" t="n"/>
      <c r="W115" s="15">
        <f>IF(P115="Production",IF(X115="Yes","Released","Review release"),IF(P115="Rolled back","Rolled back",IF(OR(Q115&lt;&gt;"",COUNTIFS(J115:N115,"Blocked")&gt;0),"Blocked",IF(OR(M115="Failed",N115="Rejected",AND(ISNUMBER(O115),O115&gt;0)),"Rework",IF(X115="Yes","Ready for release",IF(N115="Accepted","Verify completion",IF(OR(M115="Passed",M115="In progress",N115="In review"),"Testing / review",IF(OR(COUNTIFS(J115:L115,"In progress")&gt;0,COUNTIFS(J115:L115,"In review")&gt;0,COUNTIFS(J115:L115,"Done")&gt;0),"In progress",IF(COUNTIFS(J115:N115,"Not assessed")=5,"Not assessed","Planned")))))))))</f>
        <v/>
      </c>
      <c r="X115" s="15">
        <f>IF(AND(J115="Done",OR(K115="Done",K115="Not required"),OR(L115="Done",L115="Not required"),M115="Passed",N115="Accepted",ISNUMBER(O115),O115=0,Q115="",F115&lt;&gt;"",S115&lt;&gt;"",T115&lt;&gt;"",ISNUMBER(U115),OR(AND(K115&lt;&gt;"Not required",L115&lt;&gt;"Not required"),V115&lt;&gt;""),P115&lt;&gt;"Rolled back"),"Yes","No")</f>
        <v/>
      </c>
      <c r="Y115" s="15">
        <f>IF(X115="Yes","Completed",IF(H115="","No deadline",IF(NOT(ISNUMBER(H115)),"Check date",IF(H115&lt;Overview!$I$3,"Overdue",IF(H115&lt;=Overview!$I$3+7,"Due soon","On track")))))</f>
        <v/>
      </c>
      <c r="Z115" s="37">
        <f>IF(AND(X115&lt;&gt;"Yes",ISNUMBER(H115)),MAX(0,Overview!$I$3-H115),0)</f>
        <v/>
      </c>
      <c r="AA115" s="5" t="inlineStr">
        <is>
          <t>Academic Coordinator</t>
        </is>
      </c>
      <c r="AB115" t="inlineStr">
        <is>
          <t>-</t>
        </is>
      </c>
    </row>
    <row r="116" ht="35" customHeight="1">
      <c r="A116" s="2" t="inlineStr">
        <is>
          <t>SCR-110</t>
        </is>
      </c>
      <c r="B116" s="5" t="inlineStr">
        <is>
          <t>Daily Class Attendance</t>
        </is>
      </c>
      <c r="C116" s="5" t="inlineStr">
        <is>
          <t>Student Attendance</t>
        </is>
      </c>
      <c r="D116" s="2" t="inlineStr">
        <is>
          <t>MVP</t>
        </is>
      </c>
      <c r="E116" s="2" t="inlineStr">
        <is>
          <t>US-0219, US-0220</t>
        </is>
      </c>
      <c r="F116" s="24" t="n"/>
      <c r="G116" s="24" t="n"/>
      <c r="H116" s="32" t="n"/>
      <c r="I116" s="2" t="inlineStr">
        <is>
          <t>Ready</t>
        </is>
      </c>
      <c r="J116" s="33" t="inlineStr">
        <is>
          <t>Done</t>
        </is>
      </c>
      <c r="K116" s="33" t="inlineStr">
        <is>
          <t>Done</t>
        </is>
      </c>
      <c r="L116" s="24" t="inlineStr">
        <is>
          <t>Not assessed</t>
        </is>
      </c>
      <c r="M116" s="24" t="inlineStr">
        <is>
          <t>Not assessed</t>
        </is>
      </c>
      <c r="N116" s="24" t="inlineStr">
        <is>
          <t>Not assessed</t>
        </is>
      </c>
      <c r="O116" s="35" t="n"/>
      <c r="P116" s="24" t="inlineStr">
        <is>
          <t>Not scheduled</t>
        </is>
      </c>
      <c r="Q116" s="24" t="n"/>
      <c r="R116" s="24" t="inlineStr">
        <is>
          <t>Roster, statuses, bulk set, edit window</t>
        </is>
      </c>
      <c r="S116" s="24" t="n"/>
      <c r="T116" s="24" t="n"/>
      <c r="U116" s="36" t="n">
        <v>46285</v>
      </c>
      <c r="V116" s="24" t="n"/>
      <c r="W116" s="15">
        <f>IF(P116="Production",IF(X116="Yes","Released","Review release"),IF(P116="Rolled back","Rolled back",IF(OR(Q116&lt;&gt;"",COUNTIFS(J116:N116,"Blocked")&gt;0),"Blocked",IF(OR(M116="Failed",N116="Rejected",AND(ISNUMBER(O116),O116&gt;0)),"Rework",IF(X116="Yes","Ready for release",IF(N116="Accepted","Verify completion",IF(OR(M116="Passed",M116="In progress",N116="In review"),"Testing / review",IF(OR(COUNTIFS(J116:L116,"In progress")&gt;0,COUNTIFS(J116:L116,"In review")&gt;0,COUNTIFS(J116:L116,"Done")&gt;0),"In progress",IF(COUNTIFS(J116:N116,"Not assessed")=5,"Not assessed","Planned")))))))))</f>
        <v/>
      </c>
      <c r="X116" s="15">
        <f>IF(AND(J116="Done",OR(K116="Done",K116="Not required"),OR(L116="Done",L116="Not required"),M116="Passed",N116="Accepted",ISNUMBER(O116),O116=0,Q116="",F116&lt;&gt;"",S116&lt;&gt;"",T116&lt;&gt;"",ISNUMBER(U116),OR(AND(K116&lt;&gt;"Not required",L116&lt;&gt;"Not required"),V116&lt;&gt;""),P116&lt;&gt;"Rolled back"),"Yes","No")</f>
        <v/>
      </c>
      <c r="Y116" s="15">
        <f>IF(X116="Yes","Completed",IF(H116="","No deadline",IF(NOT(ISNUMBER(H116)),"Check date",IF(H116&lt;Overview!$I$3,"Overdue",IF(H116&lt;=Overview!$I$3+7,"Due soon","On track")))))</f>
        <v/>
      </c>
      <c r="Z116" s="37">
        <f>IF(AND(X116&lt;&gt;"Yes",ISNUMBER(H116)),MAX(0,Overview!$I$3-H116),0)</f>
        <v/>
      </c>
      <c r="AA116" s="5" t="inlineStr">
        <is>
          <t>Teacher</t>
        </is>
      </c>
      <c r="AB116" t="inlineStr">
        <is>
          <t>/teacher/attendance</t>
        </is>
      </c>
    </row>
    <row r="117" ht="35" customHeight="1">
      <c r="A117" s="2" t="inlineStr">
        <is>
          <t>SCR-111</t>
        </is>
      </c>
      <c r="B117" s="5" t="inlineStr">
        <is>
          <t>Period / Subject Attendance</t>
        </is>
      </c>
      <c r="C117" s="5" t="inlineStr">
        <is>
          <t>Student Attendance</t>
        </is>
      </c>
      <c r="D117" s="2" t="inlineStr">
        <is>
          <t>MVP</t>
        </is>
      </c>
      <c r="E117" s="2" t="inlineStr">
        <is>
          <t>US-0221, US-0222</t>
        </is>
      </c>
      <c r="F117" s="24" t="n"/>
      <c r="G117" s="24" t="n"/>
      <c r="H117" s="32" t="n"/>
      <c r="I117" s="2" t="inlineStr">
        <is>
          <t>Ready</t>
        </is>
      </c>
      <c r="J117" s="39" t="inlineStr">
        <is>
          <t>Not started</t>
        </is>
      </c>
      <c r="K117" s="39" t="inlineStr">
        <is>
          <t>Not started</t>
        </is>
      </c>
      <c r="L117" s="24" t="inlineStr">
        <is>
          <t>Not assessed</t>
        </is>
      </c>
      <c r="M117" s="24" t="inlineStr">
        <is>
          <t>Not assessed</t>
        </is>
      </c>
      <c r="N117" s="24" t="inlineStr">
        <is>
          <t>Not assessed</t>
        </is>
      </c>
      <c r="O117" s="35" t="n"/>
      <c r="P117" s="24" t="inlineStr">
        <is>
          <t>Not scheduled</t>
        </is>
      </c>
      <c r="Q117" s="24" t="n"/>
      <c r="R117" s="24" t="inlineStr">
        <is>
          <t>Attendance keyed by section and date only</t>
        </is>
      </c>
      <c r="S117" s="24" t="n"/>
      <c r="T117" s="24" t="n"/>
      <c r="U117" s="36" t="n">
        <v>46285</v>
      </c>
      <c r="V117" s="24" t="n"/>
      <c r="W117" s="15">
        <f>IF(P117="Production",IF(X117="Yes","Released","Review release"),IF(P117="Rolled back","Rolled back",IF(OR(Q117&lt;&gt;"",COUNTIFS(J117:N117,"Blocked")&gt;0),"Blocked",IF(OR(M117="Failed",N117="Rejected",AND(ISNUMBER(O117),O117&gt;0)),"Rework",IF(X117="Yes","Ready for release",IF(N117="Accepted","Verify completion",IF(OR(M117="Passed",M117="In progress",N117="In review"),"Testing / review",IF(OR(COUNTIFS(J117:L117,"In progress")&gt;0,COUNTIFS(J117:L117,"In review")&gt;0,COUNTIFS(J117:L117,"Done")&gt;0),"In progress",IF(COUNTIFS(J117:N117,"Not assessed")=5,"Not assessed","Planned")))))))))</f>
        <v/>
      </c>
      <c r="X117" s="15">
        <f>IF(AND(J117="Done",OR(K117="Done",K117="Not required"),OR(L117="Done",L117="Not required"),M117="Passed",N117="Accepted",ISNUMBER(O117),O117=0,Q117="",F117&lt;&gt;"",S117&lt;&gt;"",T117&lt;&gt;"",ISNUMBER(U117),OR(AND(K117&lt;&gt;"Not required",L117&lt;&gt;"Not required"),V117&lt;&gt;""),P117&lt;&gt;"Rolled back"),"Yes","No")</f>
        <v/>
      </c>
      <c r="Y117" s="15">
        <f>IF(X117="Yes","Completed",IF(H117="","No deadline",IF(NOT(ISNUMBER(H117)),"Check date",IF(H117&lt;Overview!$I$3,"Overdue",IF(H117&lt;=Overview!$I$3+7,"Due soon","On track")))))</f>
        <v/>
      </c>
      <c r="Z117" s="37">
        <f>IF(AND(X117&lt;&gt;"Yes",ISNUMBER(H117)),MAX(0,Overview!$I$3-H117),0)</f>
        <v/>
      </c>
      <c r="AA117" s="5" t="inlineStr">
        <is>
          <t>Teacher</t>
        </is>
      </c>
      <c r="AB117" t="inlineStr">
        <is>
          <t>-</t>
        </is>
      </c>
    </row>
    <row r="118" ht="35" customHeight="1">
      <c r="A118" s="2" t="inlineStr">
        <is>
          <t>SCR-112</t>
        </is>
      </c>
      <c r="B118" s="5" t="inlineStr">
        <is>
          <t>Student Attendance Register</t>
        </is>
      </c>
      <c r="C118" s="5" t="inlineStr">
        <is>
          <t>Student Attendance</t>
        </is>
      </c>
      <c r="D118" s="2" t="inlineStr">
        <is>
          <t>MVP</t>
        </is>
      </c>
      <c r="E118" s="2" t="inlineStr">
        <is>
          <t>US-0223, US-0224</t>
        </is>
      </c>
      <c r="F118" s="24" t="n"/>
      <c r="G118" s="24" t="n"/>
      <c r="H118" s="32" t="n"/>
      <c r="I118" s="2" t="inlineStr">
        <is>
          <t>Ready</t>
        </is>
      </c>
      <c r="J118" s="38" t="inlineStr">
        <is>
          <t>In progress</t>
        </is>
      </c>
      <c r="K118" s="33" t="inlineStr">
        <is>
          <t>Done</t>
        </is>
      </c>
      <c r="L118" s="24" t="inlineStr">
        <is>
          <t>Not assessed</t>
        </is>
      </c>
      <c r="M118" s="24" t="inlineStr">
        <is>
          <t>Not assessed</t>
        </is>
      </c>
      <c r="N118" s="24" t="inlineStr">
        <is>
          <t>Not assessed</t>
        </is>
      </c>
      <c r="O118" s="35" t="n"/>
      <c r="P118" s="24" t="inlineStr">
        <is>
          <t>Not scheduled</t>
        </is>
      </c>
      <c r="Q118" s="24" t="n"/>
      <c r="R118" s="24" t="inlineStr">
        <is>
          <t>Matrix is an admin tab; teachers have none</t>
        </is>
      </c>
      <c r="S118" s="24" t="n"/>
      <c r="T118" s="24" t="n"/>
      <c r="U118" s="36" t="n">
        <v>46285</v>
      </c>
      <c r="V118" s="24" t="n"/>
      <c r="W118" s="15">
        <f>IF(P118="Production",IF(X118="Yes","Released","Review release"),IF(P118="Rolled back","Rolled back",IF(OR(Q118&lt;&gt;"",COUNTIFS(J118:N118,"Blocked")&gt;0),"Blocked",IF(OR(M118="Failed",N118="Rejected",AND(ISNUMBER(O118),O118&gt;0)),"Rework",IF(X118="Yes","Ready for release",IF(N118="Accepted","Verify completion",IF(OR(M118="Passed",M118="In progress",N118="In review"),"Testing / review",IF(OR(COUNTIFS(J118:L118,"In progress")&gt;0,COUNTIFS(J118:L118,"In review")&gt;0,COUNTIFS(J118:L118,"Done")&gt;0),"In progress",IF(COUNTIFS(J118:N118,"Not assessed")=5,"Not assessed","Planned")))))))))</f>
        <v/>
      </c>
      <c r="X118" s="15">
        <f>IF(AND(J118="Done",OR(K118="Done",K118="Not required"),OR(L118="Done",L118="Not required"),M118="Passed",N118="Accepted",ISNUMBER(O118),O118=0,Q118="",F118&lt;&gt;"",S118&lt;&gt;"",T118&lt;&gt;"",ISNUMBER(U118),OR(AND(K118&lt;&gt;"Not required",L118&lt;&gt;"Not required"),V118&lt;&gt;""),P118&lt;&gt;"Rolled back"),"Yes","No")</f>
        <v/>
      </c>
      <c r="Y118" s="15">
        <f>IF(X118="Yes","Completed",IF(H118="","No deadline",IF(NOT(ISNUMBER(H118)),"Check date",IF(H118&lt;Overview!$I$3,"Overdue",IF(H118&lt;=Overview!$I$3+7,"Due soon","On track")))))</f>
        <v/>
      </c>
      <c r="Z118" s="37">
        <f>IF(AND(X118&lt;&gt;"Yes",ISNUMBER(H118)),MAX(0,Overview!$I$3-H118),0)</f>
        <v/>
      </c>
      <c r="AA118" s="5" t="inlineStr">
        <is>
          <t>Teacher</t>
        </is>
      </c>
      <c r="AB118" t="inlineStr">
        <is>
          <t>/school/reports/attendance</t>
        </is>
      </c>
    </row>
    <row r="119" ht="35" customHeight="1">
      <c r="A119" s="2" t="inlineStr">
        <is>
          <t>SCR-113</t>
        </is>
      </c>
      <c r="B119" s="5" t="inlineStr">
        <is>
          <t>Attendance Correction</t>
        </is>
      </c>
      <c r="C119" s="5" t="inlineStr">
        <is>
          <t>Student Attendance</t>
        </is>
      </c>
      <c r="D119" s="2" t="inlineStr">
        <is>
          <t>MVP</t>
        </is>
      </c>
      <c r="E119" s="2" t="inlineStr">
        <is>
          <t>US-0225, US-0226</t>
        </is>
      </c>
      <c r="F119" s="24" t="n"/>
      <c r="G119" s="24" t="n"/>
      <c r="H119" s="32" t="n"/>
      <c r="I119" s="2" t="inlineStr">
        <is>
          <t>Ready</t>
        </is>
      </c>
      <c r="J119" s="38" t="inlineStr">
        <is>
          <t>In progress</t>
        </is>
      </c>
      <c r="K119" s="38" t="inlineStr">
        <is>
          <t>In progress</t>
        </is>
      </c>
      <c r="L119" s="24" t="inlineStr">
        <is>
          <t>Not assessed</t>
        </is>
      </c>
      <c r="M119" s="24" t="inlineStr">
        <is>
          <t>Not assessed</t>
        </is>
      </c>
      <c r="N119" s="24" t="inlineStr">
        <is>
          <t>Not assessed</t>
        </is>
      </c>
      <c r="O119" s="35" t="n"/>
      <c r="P119" s="24" t="inlineStr">
        <is>
          <t>Not scheduled</t>
        </is>
      </c>
      <c r="Q119" s="24" t="n"/>
      <c r="R119" s="24" t="inlineStr">
        <is>
          <t>Reopen only; no per-student correction request</t>
        </is>
      </c>
      <c r="S119" s="24" t="n"/>
      <c r="T119" s="24" t="n"/>
      <c r="U119" s="36" t="n">
        <v>46285</v>
      </c>
      <c r="V119" s="24" t="n"/>
      <c r="W119" s="15">
        <f>IF(P119="Production",IF(X119="Yes","Released","Review release"),IF(P119="Rolled back","Rolled back",IF(OR(Q119&lt;&gt;"",COUNTIFS(J119:N119,"Blocked")&gt;0),"Blocked",IF(OR(M119="Failed",N119="Rejected",AND(ISNUMBER(O119),O119&gt;0)),"Rework",IF(X119="Yes","Ready for release",IF(N119="Accepted","Verify completion",IF(OR(M119="Passed",M119="In progress",N119="In review"),"Testing / review",IF(OR(COUNTIFS(J119:L119,"In progress")&gt;0,COUNTIFS(J119:L119,"In review")&gt;0,COUNTIFS(J119:L119,"Done")&gt;0),"In progress",IF(COUNTIFS(J119:N119,"Not assessed")=5,"Not assessed","Planned")))))))))</f>
        <v/>
      </c>
      <c r="X119" s="15">
        <f>IF(AND(J119="Done",OR(K119="Done",K119="Not required"),OR(L119="Done",L119="Not required"),M119="Passed",N119="Accepted",ISNUMBER(O119),O119=0,Q119="",F119&lt;&gt;"",S119&lt;&gt;"",T119&lt;&gt;"",ISNUMBER(U119),OR(AND(K119&lt;&gt;"Not required",L119&lt;&gt;"Not required"),V119&lt;&gt;""),P119&lt;&gt;"Rolled back"),"Yes","No")</f>
        <v/>
      </c>
      <c r="Y119" s="15">
        <f>IF(X119="Yes","Completed",IF(H119="","No deadline",IF(NOT(ISNUMBER(H119)),"Check date",IF(H119&lt;Overview!$I$3,"Overdue",IF(H119&lt;=Overview!$I$3+7,"Due soon","On track")))))</f>
        <v/>
      </c>
      <c r="Z119" s="37">
        <f>IF(AND(X119&lt;&gt;"Yes",ISNUMBER(H119)),MAX(0,Overview!$I$3-H119),0)</f>
        <v/>
      </c>
      <c r="AA119" s="5" t="inlineStr">
        <is>
          <t>Class Teacher</t>
        </is>
      </c>
      <c r="AB119" t="inlineStr">
        <is>
          <t>/school/attendance-registers</t>
        </is>
      </c>
    </row>
    <row r="120" ht="35" customHeight="1">
      <c r="A120" s="2" t="inlineStr">
        <is>
          <t>SCR-114</t>
        </is>
      </c>
      <c r="B120" s="5" t="inlineStr">
        <is>
          <t>Student Leave Requests</t>
        </is>
      </c>
      <c r="C120" s="5" t="inlineStr">
        <is>
          <t>Student Attendance</t>
        </is>
      </c>
      <c r="D120" s="2" t="inlineStr">
        <is>
          <t>MVP</t>
        </is>
      </c>
      <c r="E120" s="2" t="inlineStr">
        <is>
          <t>US-0227, US-0228</t>
        </is>
      </c>
      <c r="F120" s="24" t="n"/>
      <c r="G120" s="24" t="n"/>
      <c r="H120" s="32" t="n"/>
      <c r="I120" s="2" t="inlineStr">
        <is>
          <t>Ready</t>
        </is>
      </c>
      <c r="J120" s="33" t="inlineStr">
        <is>
          <t>Done</t>
        </is>
      </c>
      <c r="K120" s="33" t="inlineStr">
        <is>
          <t>Done</t>
        </is>
      </c>
      <c r="L120" s="24" t="inlineStr">
        <is>
          <t>Not assessed</t>
        </is>
      </c>
      <c r="M120" s="24" t="inlineStr">
        <is>
          <t>Not assessed</t>
        </is>
      </c>
      <c r="N120" s="24" t="inlineStr">
        <is>
          <t>Not assessed</t>
        </is>
      </c>
      <c r="O120" s="35" t="n"/>
      <c r="P120" s="24" t="inlineStr">
        <is>
          <t>Not scheduled</t>
        </is>
      </c>
      <c r="Q120" s="24" t="n"/>
      <c r="R120" s="24" t="inlineStr">
        <is>
          <t>Apply and history, parent-initiated</t>
        </is>
      </c>
      <c r="S120" s="24" t="n"/>
      <c r="T120" s="24" t="n"/>
      <c r="U120" s="36" t="n">
        <v>46285</v>
      </c>
      <c r="V120" s="24" t="n"/>
      <c r="W120" s="15">
        <f>IF(P120="Production",IF(X120="Yes","Released","Review release"),IF(P120="Rolled back","Rolled back",IF(OR(Q120&lt;&gt;"",COUNTIFS(J120:N120,"Blocked")&gt;0),"Blocked",IF(OR(M120="Failed",N120="Rejected",AND(ISNUMBER(O120),O120&gt;0)),"Rework",IF(X120="Yes","Ready for release",IF(N120="Accepted","Verify completion",IF(OR(M120="Passed",M120="In progress",N120="In review"),"Testing / review",IF(OR(COUNTIFS(J120:L120,"In progress")&gt;0,COUNTIFS(J120:L120,"In review")&gt;0,COUNTIFS(J120:L120,"Done")&gt;0),"In progress",IF(COUNTIFS(J120:N120,"Not assessed")=5,"Not assessed","Planned")))))))))</f>
        <v/>
      </c>
      <c r="X120" s="15">
        <f>IF(AND(J120="Done",OR(K120="Done",K120="Not required"),OR(L120="Done",L120="Not required"),M120="Passed",N120="Accepted",ISNUMBER(O120),O120=0,Q120="",F120&lt;&gt;"",S120&lt;&gt;"",T120&lt;&gt;"",ISNUMBER(U120),OR(AND(K120&lt;&gt;"Not required",L120&lt;&gt;"Not required"),V120&lt;&gt;""),P120&lt;&gt;"Rolled back"),"Yes","No")</f>
        <v/>
      </c>
      <c r="Y120" s="15">
        <f>IF(X120="Yes","Completed",IF(H120="","No deadline",IF(NOT(ISNUMBER(H120)),"Check date",IF(H120&lt;Overview!$I$3,"Overdue",IF(H120&lt;=Overview!$I$3+7,"Due soon","On track")))))</f>
        <v/>
      </c>
      <c r="Z120" s="37">
        <f>IF(AND(X120&lt;&gt;"Yes",ISNUMBER(H120)),MAX(0,Overview!$I$3-H120),0)</f>
        <v/>
      </c>
      <c r="AA120" s="5" t="inlineStr">
        <is>
          <t>Teacher</t>
        </is>
      </c>
      <c r="AB120" t="inlineStr">
        <is>
          <t>/parent/children/[id]/leave</t>
        </is>
      </c>
    </row>
    <row r="121" ht="35" customHeight="1">
      <c r="A121" s="2" t="inlineStr">
        <is>
          <t>SCR-115</t>
        </is>
      </c>
      <c r="B121" s="5" t="inlineStr">
        <is>
          <t>Student Leave Approval</t>
        </is>
      </c>
      <c r="C121" s="5" t="inlineStr">
        <is>
          <t>Student Attendance</t>
        </is>
      </c>
      <c r="D121" s="2" t="inlineStr">
        <is>
          <t>Phase 2</t>
        </is>
      </c>
      <c r="E121" s="2" t="inlineStr">
        <is>
          <t>US-0229, US-0230</t>
        </is>
      </c>
      <c r="F121" s="24" t="n"/>
      <c r="G121" s="24" t="n"/>
      <c r="H121" s="32" t="n"/>
      <c r="I121" s="2" t="inlineStr">
        <is>
          <t>Ready</t>
        </is>
      </c>
      <c r="J121" s="33" t="inlineStr">
        <is>
          <t>Done</t>
        </is>
      </c>
      <c r="K121" s="33" t="inlineStr">
        <is>
          <t>Done</t>
        </is>
      </c>
      <c r="L121" s="24" t="inlineStr">
        <is>
          <t>Not assessed</t>
        </is>
      </c>
      <c r="M121" s="24" t="inlineStr">
        <is>
          <t>Not assessed</t>
        </is>
      </c>
      <c r="N121" s="24" t="inlineStr">
        <is>
          <t>Not assessed</t>
        </is>
      </c>
      <c r="O121" s="35" t="n"/>
      <c r="P121" s="24" t="inlineStr">
        <is>
          <t>Not scheduled</t>
        </is>
      </c>
      <c r="Q121" s="24" t="n"/>
      <c r="R121" s="24" t="inlineStr">
        <is>
          <t>Approve or reject with note</t>
        </is>
      </c>
      <c r="S121" s="24" t="n"/>
      <c r="T121" s="24" t="n"/>
      <c r="U121" s="36" t="n">
        <v>46285</v>
      </c>
      <c r="V121" s="24" t="n"/>
      <c r="W121" s="15">
        <f>IF(P121="Production",IF(X121="Yes","Released","Review release"),IF(P121="Rolled back","Rolled back",IF(OR(Q121&lt;&gt;"",COUNTIFS(J121:N121,"Blocked")&gt;0),"Blocked",IF(OR(M121="Failed",N121="Rejected",AND(ISNUMBER(O121),O121&gt;0)),"Rework",IF(X121="Yes","Ready for release",IF(N121="Accepted","Verify completion",IF(OR(M121="Passed",M121="In progress",N121="In review"),"Testing / review",IF(OR(COUNTIFS(J121:L121,"In progress")&gt;0,COUNTIFS(J121:L121,"In review")&gt;0,COUNTIFS(J121:L121,"Done")&gt;0),"In progress",IF(COUNTIFS(J121:N121,"Not assessed")=5,"Not assessed","Planned")))))))))</f>
        <v/>
      </c>
      <c r="X121" s="15">
        <f>IF(AND(J121="Done",OR(K121="Done",K121="Not required"),OR(L121="Done",L121="Not required"),M121="Passed",N121="Accepted",ISNUMBER(O121),O121=0,Q121="",F121&lt;&gt;"",S121&lt;&gt;"",T121&lt;&gt;"",ISNUMBER(U121),OR(AND(K121&lt;&gt;"Not required",L121&lt;&gt;"Not required"),V121&lt;&gt;""),P121&lt;&gt;"Rolled back"),"Yes","No")</f>
        <v/>
      </c>
      <c r="Y121" s="15">
        <f>IF(X121="Yes","Completed",IF(H121="","No deadline",IF(NOT(ISNUMBER(H121)),"Check date",IF(H121&lt;Overview!$I$3,"Overdue",IF(H121&lt;=Overview!$I$3+7,"Due soon","On track")))))</f>
        <v/>
      </c>
      <c r="Z121" s="37">
        <f>IF(AND(X121&lt;&gt;"Yes",ISNUMBER(H121)),MAX(0,Overview!$I$3-H121),0)</f>
        <v/>
      </c>
      <c r="AA121" s="5" t="inlineStr">
        <is>
          <t>Class Teacher</t>
        </is>
      </c>
      <c r="AB121" t="inlineStr">
        <is>
          <t>/school/student-leaves</t>
        </is>
      </c>
    </row>
    <row r="122" ht="35" customHeight="1">
      <c r="A122" s="2" t="inlineStr">
        <is>
          <t>SCR-116</t>
        </is>
      </c>
      <c r="B122" s="5" t="inlineStr">
        <is>
          <t>Late Entry / Early Exit</t>
        </is>
      </c>
      <c r="C122" s="5" t="inlineStr">
        <is>
          <t>Student Attendance</t>
        </is>
      </c>
      <c r="D122" s="2" t="inlineStr">
        <is>
          <t>Phase 2</t>
        </is>
      </c>
      <c r="E122" s="2" t="inlineStr">
        <is>
          <t>US-0231, US-0232</t>
        </is>
      </c>
      <c r="F122" s="24" t="n"/>
      <c r="G122" s="24" t="n"/>
      <c r="H122" s="32" t="n"/>
      <c r="I122" s="2" t="inlineStr">
        <is>
          <t>Ready</t>
        </is>
      </c>
      <c r="J122" s="38" t="inlineStr">
        <is>
          <t>In progress</t>
        </is>
      </c>
      <c r="K122" s="38" t="inlineStr">
        <is>
          <t>In progress</t>
        </is>
      </c>
      <c r="L122" s="24" t="inlineStr">
        <is>
          <t>Not assessed</t>
        </is>
      </c>
      <c r="M122" s="24" t="inlineStr">
        <is>
          <t>Not assessed</t>
        </is>
      </c>
      <c r="N122" s="24" t="inlineStr">
        <is>
          <t>Not assessed</t>
        </is>
      </c>
      <c r="O122" s="35" t="n"/>
      <c r="P122" s="24" t="inlineStr">
        <is>
          <t>Not scheduled</t>
        </is>
      </c>
      <c r="Q122" s="24" t="n"/>
      <c r="R122" s="24" t="inlineStr">
        <is>
          <t>Gate passes cover exit, not late entry</t>
        </is>
      </c>
      <c r="S122" s="24" t="n"/>
      <c r="T122" s="24" t="n"/>
      <c r="U122" s="36" t="n">
        <v>46285</v>
      </c>
      <c r="V122" s="24" t="n"/>
      <c r="W122" s="15">
        <f>IF(P122="Production",IF(X122="Yes","Released","Review release"),IF(P122="Rolled back","Rolled back",IF(OR(Q122&lt;&gt;"",COUNTIFS(J122:N122,"Blocked")&gt;0),"Blocked",IF(OR(M122="Failed",N122="Rejected",AND(ISNUMBER(O122),O122&gt;0)),"Rework",IF(X122="Yes","Ready for release",IF(N122="Accepted","Verify completion",IF(OR(M122="Passed",M122="In progress",N122="In review"),"Testing / review",IF(OR(COUNTIFS(J122:L122,"In progress")&gt;0,COUNTIFS(J122:L122,"In review")&gt;0,COUNTIFS(J122:L122,"Done")&gt;0),"In progress",IF(COUNTIFS(J122:N122,"Not assessed")=5,"Not assessed","Planned")))))))))</f>
        <v/>
      </c>
      <c r="X122" s="15">
        <f>IF(AND(J122="Done",OR(K122="Done",K122="Not required"),OR(L122="Done",L122="Not required"),M122="Passed",N122="Accepted",ISNUMBER(O122),O122=0,Q122="",F122&lt;&gt;"",S122&lt;&gt;"",T122&lt;&gt;"",ISNUMBER(U122),OR(AND(K122&lt;&gt;"Not required",L122&lt;&gt;"Not required"),V122&lt;&gt;""),P122&lt;&gt;"Rolled back"),"Yes","No")</f>
        <v/>
      </c>
      <c r="Y122" s="15">
        <f>IF(X122="Yes","Completed",IF(H122="","No deadline",IF(NOT(ISNUMBER(H122)),"Check date",IF(H122&lt;Overview!$I$3,"Overdue",IF(H122&lt;=Overview!$I$3+7,"Due soon","On track")))))</f>
        <v/>
      </c>
      <c r="Z122" s="37">
        <f>IF(AND(X122&lt;&gt;"Yes",ISNUMBER(H122)),MAX(0,Overview!$I$3-H122),0)</f>
        <v/>
      </c>
      <c r="AA122" s="5" t="inlineStr">
        <is>
          <t>Teacher</t>
        </is>
      </c>
      <c r="AB122" t="inlineStr">
        <is>
          <t>/school/front-desk</t>
        </is>
      </c>
    </row>
    <row r="123" ht="35" customHeight="1">
      <c r="A123" s="2" t="inlineStr">
        <is>
          <t>SCR-117</t>
        </is>
      </c>
      <c r="B123" s="5" t="inlineStr">
        <is>
          <t>Monthly Attendance Summary</t>
        </is>
      </c>
      <c r="C123" s="5" t="inlineStr">
        <is>
          <t>Student Attendance</t>
        </is>
      </c>
      <c r="D123" s="2" t="inlineStr">
        <is>
          <t>Phase 2</t>
        </is>
      </c>
      <c r="E123" s="2" t="inlineStr">
        <is>
          <t>US-0233, US-0234</t>
        </is>
      </c>
      <c r="F123" s="24" t="n"/>
      <c r="G123" s="24" t="n"/>
      <c r="H123" s="32" t="n"/>
      <c r="I123" s="2" t="inlineStr">
        <is>
          <t>Ready</t>
        </is>
      </c>
      <c r="J123" s="38" t="inlineStr">
        <is>
          <t>In progress</t>
        </is>
      </c>
      <c r="K123" s="33" t="inlineStr">
        <is>
          <t>Done</t>
        </is>
      </c>
      <c r="L123" s="24" t="inlineStr">
        <is>
          <t>Not assessed</t>
        </is>
      </c>
      <c r="M123" s="24" t="inlineStr">
        <is>
          <t>Not assessed</t>
        </is>
      </c>
      <c r="N123" s="24" t="inlineStr">
        <is>
          <t>Not assessed</t>
        </is>
      </c>
      <c r="O123" s="35" t="n"/>
      <c r="P123" s="24" t="inlineStr">
        <is>
          <t>Not scheduled</t>
        </is>
      </c>
      <c r="Q123" s="24" t="n"/>
      <c r="R123" s="24" t="inlineStr">
        <is>
          <t>One tab of three, with CSV</t>
        </is>
      </c>
      <c r="S123" s="24" t="n"/>
      <c r="T123" s="24" t="n"/>
      <c r="U123" s="36" t="n">
        <v>46285</v>
      </c>
      <c r="V123" s="24" t="n"/>
      <c r="W123" s="15">
        <f>IF(P123="Production",IF(X123="Yes","Released","Review release"),IF(P123="Rolled back","Rolled back",IF(OR(Q123&lt;&gt;"",COUNTIFS(J123:N123,"Blocked")&gt;0),"Blocked",IF(OR(M123="Failed",N123="Rejected",AND(ISNUMBER(O123),O123&gt;0)),"Rework",IF(X123="Yes","Ready for release",IF(N123="Accepted","Verify completion",IF(OR(M123="Passed",M123="In progress",N123="In review"),"Testing / review",IF(OR(COUNTIFS(J123:L123,"In progress")&gt;0,COUNTIFS(J123:L123,"In review")&gt;0,COUNTIFS(J123:L123,"Done")&gt;0),"In progress",IF(COUNTIFS(J123:N123,"Not assessed")=5,"Not assessed","Planned")))))))))</f>
        <v/>
      </c>
      <c r="X123" s="15">
        <f>IF(AND(J123="Done",OR(K123="Done",K123="Not required"),OR(L123="Done",L123="Not required"),M123="Passed",N123="Accepted",ISNUMBER(O123),O123=0,Q123="",F123&lt;&gt;"",S123&lt;&gt;"",T123&lt;&gt;"",ISNUMBER(U123),OR(AND(K123&lt;&gt;"Not required",L123&lt;&gt;"Not required"),V123&lt;&gt;""),P123&lt;&gt;"Rolled back"),"Yes","No")</f>
        <v/>
      </c>
      <c r="Y123" s="15">
        <f>IF(X123="Yes","Completed",IF(H123="","No deadline",IF(NOT(ISNUMBER(H123)),"Check date",IF(H123&lt;Overview!$I$3,"Overdue",IF(H123&lt;=Overview!$I$3+7,"Due soon","On track")))))</f>
        <v/>
      </c>
      <c r="Z123" s="37">
        <f>IF(AND(X123&lt;&gt;"Yes",ISNUMBER(H123)),MAX(0,Overview!$I$3-H123),0)</f>
        <v/>
      </c>
      <c r="AA123" s="5" t="inlineStr">
        <is>
          <t>School Admin</t>
        </is>
      </c>
      <c r="AB123" t="inlineStr">
        <is>
          <t>/school/reports/attendance</t>
        </is>
      </c>
    </row>
    <row r="124" ht="35" customHeight="1">
      <c r="A124" s="2" t="inlineStr">
        <is>
          <t>SCR-118</t>
        </is>
      </c>
      <c r="B124" s="5" t="inlineStr">
        <is>
          <t>Chronic Absence Alerts</t>
        </is>
      </c>
      <c r="C124" s="5" t="inlineStr">
        <is>
          <t>Student Attendance</t>
        </is>
      </c>
      <c r="D124" s="2" t="inlineStr">
        <is>
          <t>Phase 3</t>
        </is>
      </c>
      <c r="E124" s="2" t="inlineStr">
        <is>
          <t>US-0235, US-0236</t>
        </is>
      </c>
      <c r="F124" s="24" t="n"/>
      <c r="G124" s="24" t="n"/>
      <c r="H124" s="32" t="n"/>
      <c r="I124" s="2" t="inlineStr">
        <is>
          <t>Ready</t>
        </is>
      </c>
      <c r="J124" s="39" t="inlineStr">
        <is>
          <t>Not started</t>
        </is>
      </c>
      <c r="K124" s="39" t="inlineStr">
        <is>
          <t>Not started</t>
        </is>
      </c>
      <c r="L124" s="24" t="inlineStr">
        <is>
          <t>Not assessed</t>
        </is>
      </c>
      <c r="M124" s="24" t="inlineStr">
        <is>
          <t>Not assessed</t>
        </is>
      </c>
      <c r="N124" s="24" t="inlineStr">
        <is>
          <t>Not assessed</t>
        </is>
      </c>
      <c r="O124" s="35" t="n"/>
      <c r="P124" s="24" t="inlineStr">
        <is>
          <t>Not scheduled</t>
        </is>
      </c>
      <c r="Q124" s="24" t="n"/>
      <c r="R124" s="24" t="inlineStr">
        <is>
          <t>No threshold, at-risk list or contact log</t>
        </is>
      </c>
      <c r="S124" s="24" t="n"/>
      <c r="T124" s="24" t="n"/>
      <c r="U124" s="36" t="n">
        <v>46285</v>
      </c>
      <c r="V124" s="24" t="n"/>
      <c r="W124" s="15">
        <f>IF(P124="Production",IF(X124="Yes","Released","Review release"),IF(P124="Rolled back","Rolled back",IF(OR(Q124&lt;&gt;"",COUNTIFS(J124:N124,"Blocked")&gt;0),"Blocked",IF(OR(M124="Failed",N124="Rejected",AND(ISNUMBER(O124),O124&gt;0)),"Rework",IF(X124="Yes","Ready for release",IF(N124="Accepted","Verify completion",IF(OR(M124="Passed",M124="In progress",N124="In review"),"Testing / review",IF(OR(COUNTIFS(J124:L124,"In progress")&gt;0,COUNTIFS(J124:L124,"In review")&gt;0,COUNTIFS(J124:L124,"Done")&gt;0),"In progress",IF(COUNTIFS(J124:N124,"Not assessed")=5,"Not assessed","Planned")))))))))</f>
        <v/>
      </c>
      <c r="X124" s="15">
        <f>IF(AND(J124="Done",OR(K124="Done",K124="Not required"),OR(L124="Done",L124="Not required"),M124="Passed",N124="Accepted",ISNUMBER(O124),O124=0,Q124="",F124&lt;&gt;"",S124&lt;&gt;"",T124&lt;&gt;"",ISNUMBER(U124),OR(AND(K124&lt;&gt;"Not required",L124&lt;&gt;"Not required"),V124&lt;&gt;""),P124&lt;&gt;"Rolled back"),"Yes","No")</f>
        <v/>
      </c>
      <c r="Y124" s="15">
        <f>IF(X124="Yes","Completed",IF(H124="","No deadline",IF(NOT(ISNUMBER(H124)),"Check date",IF(H124&lt;Overview!$I$3,"Overdue",IF(H124&lt;=Overview!$I$3+7,"Due soon","On track")))))</f>
        <v/>
      </c>
      <c r="Z124" s="37">
        <f>IF(AND(X124&lt;&gt;"Yes",ISNUMBER(H124)),MAX(0,Overview!$I$3-H124),0)</f>
        <v/>
      </c>
      <c r="AA124" s="5" t="inlineStr">
        <is>
          <t>School Admin</t>
        </is>
      </c>
      <c r="AB124" t="inlineStr">
        <is>
          <t>-</t>
        </is>
      </c>
    </row>
    <row r="125" ht="35" customHeight="1">
      <c r="A125" s="2" t="inlineStr">
        <is>
          <t>SCR-119</t>
        </is>
      </c>
      <c r="B125" s="5" t="inlineStr">
        <is>
          <t>Attendance Reports</t>
        </is>
      </c>
      <c r="C125" s="5" t="inlineStr">
        <is>
          <t>Student Attendance</t>
        </is>
      </c>
      <c r="D125" s="2" t="inlineStr">
        <is>
          <t>Phase 3</t>
        </is>
      </c>
      <c r="E125" s="2" t="inlineStr">
        <is>
          <t>US-0237, US-0238</t>
        </is>
      </c>
      <c r="F125" s="24" t="n"/>
      <c r="G125" s="24" t="n"/>
      <c r="H125" s="32" t="n"/>
      <c r="I125" s="2" t="inlineStr">
        <is>
          <t>Ready</t>
        </is>
      </c>
      <c r="J125" s="33" t="inlineStr">
        <is>
          <t>Done</t>
        </is>
      </c>
      <c r="K125" s="33" t="inlineStr">
        <is>
          <t>Done</t>
        </is>
      </c>
      <c r="L125" s="24" t="inlineStr">
        <is>
          <t>Not assessed</t>
        </is>
      </c>
      <c r="M125" s="24" t="inlineStr">
        <is>
          <t>Not assessed</t>
        </is>
      </c>
      <c r="N125" s="24" t="inlineStr">
        <is>
          <t>Not assessed</t>
        </is>
      </c>
      <c r="O125" s="35" t="n"/>
      <c r="P125" s="24" t="inlineStr">
        <is>
          <t>Not scheduled</t>
        </is>
      </c>
      <c r="Q125" s="24" t="n"/>
      <c r="R125" s="24" t="inlineStr">
        <is>
          <t>Daily, class and student views with CSV</t>
        </is>
      </c>
      <c r="S125" s="24" t="n"/>
      <c r="T125" s="24" t="n"/>
      <c r="U125" s="36" t="n">
        <v>46285</v>
      </c>
      <c r="V125" s="24" t="n"/>
      <c r="W125" s="15">
        <f>IF(P125="Production",IF(X125="Yes","Released","Review release"),IF(P125="Rolled back","Rolled back",IF(OR(Q125&lt;&gt;"",COUNTIFS(J125:N125,"Blocked")&gt;0),"Blocked",IF(OR(M125="Failed",N125="Rejected",AND(ISNUMBER(O125),O125&gt;0)),"Rework",IF(X125="Yes","Ready for release",IF(N125="Accepted","Verify completion",IF(OR(M125="Passed",M125="In progress",N125="In review"),"Testing / review",IF(OR(COUNTIFS(J125:L125,"In progress")&gt;0,COUNTIFS(J125:L125,"In review")&gt;0,COUNTIFS(J125:L125,"Done")&gt;0),"In progress",IF(COUNTIFS(J125:N125,"Not assessed")=5,"Not assessed","Planned")))))))))</f>
        <v/>
      </c>
      <c r="X125" s="15">
        <f>IF(AND(J125="Done",OR(K125="Done",K125="Not required"),OR(L125="Done",L125="Not required"),M125="Passed",N125="Accepted",ISNUMBER(O125),O125=0,Q125="",F125&lt;&gt;"",S125&lt;&gt;"",T125&lt;&gt;"",ISNUMBER(U125),OR(AND(K125&lt;&gt;"Not required",L125&lt;&gt;"Not required"),V125&lt;&gt;""),P125&lt;&gt;"Rolled back"),"Yes","No")</f>
        <v/>
      </c>
      <c r="Y125" s="15">
        <f>IF(X125="Yes","Completed",IF(H125="","No deadline",IF(NOT(ISNUMBER(H125)),"Check date",IF(H125&lt;Overview!$I$3,"Overdue",IF(H125&lt;=Overview!$I$3+7,"Due soon","On track")))))</f>
        <v/>
      </c>
      <c r="Z125" s="37">
        <f>IF(AND(X125&lt;&gt;"Yes",ISNUMBER(H125)),MAX(0,Overview!$I$3-H125),0)</f>
        <v/>
      </c>
      <c r="AA125" s="5" t="inlineStr">
        <is>
          <t>School Admin</t>
        </is>
      </c>
      <c r="AB125" t="inlineStr">
        <is>
          <t>/school/reports/attendance</t>
        </is>
      </c>
    </row>
    <row r="126" ht="35" customHeight="1">
      <c r="A126" s="2" t="inlineStr">
        <is>
          <t>SCR-120</t>
        </is>
      </c>
      <c r="B126" s="5" t="inlineStr">
        <is>
          <t>Timetable Dashboard</t>
        </is>
      </c>
      <c r="C126" s="5" t="inlineStr">
        <is>
          <t>Timetable &amp; Substitution</t>
        </is>
      </c>
      <c r="D126" s="2" t="inlineStr">
        <is>
          <t>MVP</t>
        </is>
      </c>
      <c r="E126" s="2" t="inlineStr">
        <is>
          <t>US-0239, US-0240</t>
        </is>
      </c>
      <c r="F126" s="24" t="n"/>
      <c r="G126" s="24" t="n"/>
      <c r="H126" s="32" t="n"/>
      <c r="I126" s="2" t="inlineStr">
        <is>
          <t>Ready</t>
        </is>
      </c>
      <c r="J126" s="38" t="inlineStr">
        <is>
          <t>In progress</t>
        </is>
      </c>
      <c r="K126" s="38" t="inlineStr">
        <is>
          <t>In progress</t>
        </is>
      </c>
      <c r="L126" s="24" t="inlineStr">
        <is>
          <t>Not assessed</t>
        </is>
      </c>
      <c r="M126" s="24" t="inlineStr">
        <is>
          <t>Not assessed</t>
        </is>
      </c>
      <c r="N126" s="24" t="inlineStr">
        <is>
          <t>Not assessed</t>
        </is>
      </c>
      <c r="O126" s="35" t="n"/>
      <c r="P126" s="24" t="inlineStr">
        <is>
          <t>Not scheduled</t>
        </is>
      </c>
      <c r="Q126" s="24" t="n"/>
      <c r="R126" s="24" t="inlineStr">
        <is>
          <t>Only a clashes panel, no dashboard stats</t>
        </is>
      </c>
      <c r="S126" s="24" t="n"/>
      <c r="T126" s="24" t="n"/>
      <c r="U126" s="36" t="n">
        <v>46285</v>
      </c>
      <c r="V126" s="24" t="n"/>
      <c r="W126" s="15">
        <f>IF(P126="Production",IF(X126="Yes","Released","Review release"),IF(P126="Rolled back","Rolled back",IF(OR(Q126&lt;&gt;"",COUNTIFS(J126:N126,"Blocked")&gt;0),"Blocked",IF(OR(M126="Failed",N126="Rejected",AND(ISNUMBER(O126),O126&gt;0)),"Rework",IF(X126="Yes","Ready for release",IF(N126="Accepted","Verify completion",IF(OR(M126="Passed",M126="In progress",N126="In review"),"Testing / review",IF(OR(COUNTIFS(J126:L126,"In progress")&gt;0,COUNTIFS(J126:L126,"In review")&gt;0,COUNTIFS(J126:L126,"Done")&gt;0),"In progress",IF(COUNTIFS(J126:N126,"Not assessed")=5,"Not assessed","Planned")))))))))</f>
        <v/>
      </c>
      <c r="X126" s="15">
        <f>IF(AND(J126="Done",OR(K126="Done",K126="Not required"),OR(L126="Done",L126="Not required"),M126="Passed",N126="Accepted",ISNUMBER(O126),O126=0,Q126="",F126&lt;&gt;"",S126&lt;&gt;"",T126&lt;&gt;"",ISNUMBER(U126),OR(AND(K126&lt;&gt;"Not required",L126&lt;&gt;"Not required"),V126&lt;&gt;""),P126&lt;&gt;"Rolled back"),"Yes","No")</f>
        <v/>
      </c>
      <c r="Y126" s="15">
        <f>IF(X126="Yes","Completed",IF(H126="","No deadline",IF(NOT(ISNUMBER(H126)),"Check date",IF(H126&lt;Overview!$I$3,"Overdue",IF(H126&lt;=Overview!$I$3+7,"Due soon","On track")))))</f>
        <v/>
      </c>
      <c r="Z126" s="37">
        <f>IF(AND(X126&lt;&gt;"Yes",ISNUMBER(H126)),MAX(0,Overview!$I$3-H126),0)</f>
        <v/>
      </c>
      <c r="AA126" s="5" t="inlineStr">
        <is>
          <t>Academic Coordinator</t>
        </is>
      </c>
      <c r="AB126" t="inlineStr">
        <is>
          <t>/school/timetable</t>
        </is>
      </c>
    </row>
    <row r="127" ht="35" customHeight="1">
      <c r="A127" s="2" t="inlineStr">
        <is>
          <t>SCR-121</t>
        </is>
      </c>
      <c r="B127" s="5" t="inlineStr">
        <is>
          <t>Timetable Setup</t>
        </is>
      </c>
      <c r="C127" s="5" t="inlineStr">
        <is>
          <t>Timetable &amp; Substitution</t>
        </is>
      </c>
      <c r="D127" s="2" t="inlineStr">
        <is>
          <t>MVP</t>
        </is>
      </c>
      <c r="E127" s="2" t="inlineStr">
        <is>
          <t>US-0241, US-0242</t>
        </is>
      </c>
      <c r="F127" s="24" t="n"/>
      <c r="G127" s="24" t="n"/>
      <c r="H127" s="32" t="n"/>
      <c r="I127" s="2" t="inlineStr">
        <is>
          <t>Ready</t>
        </is>
      </c>
      <c r="J127" s="38" t="inlineStr">
        <is>
          <t>In progress</t>
        </is>
      </c>
      <c r="K127" s="38" t="inlineStr">
        <is>
          <t>In progress</t>
        </is>
      </c>
      <c r="L127" s="24" t="inlineStr">
        <is>
          <t>Not assessed</t>
        </is>
      </c>
      <c r="M127" s="24" t="inlineStr">
        <is>
          <t>Not assessed</t>
        </is>
      </c>
      <c r="N127" s="24" t="inlineStr">
        <is>
          <t>Not assessed</t>
        </is>
      </c>
      <c r="O127" s="35" t="n"/>
      <c r="P127" s="24" t="inlineStr">
        <is>
          <t>Not scheduled</t>
        </is>
      </c>
      <c r="Q127" s="24" t="n"/>
      <c r="R127" s="24" t="inlineStr">
        <is>
          <t>Grid assigns subject; entries carry no room</t>
        </is>
      </c>
      <c r="S127" s="24" t="n"/>
      <c r="T127" s="24" t="n"/>
      <c r="U127" s="36" t="n">
        <v>46285</v>
      </c>
      <c r="V127" s="24" t="n"/>
      <c r="W127" s="15">
        <f>IF(P127="Production",IF(X127="Yes","Released","Review release"),IF(P127="Rolled back","Rolled back",IF(OR(Q127&lt;&gt;"",COUNTIFS(J127:N127,"Blocked")&gt;0),"Blocked",IF(OR(M127="Failed",N127="Rejected",AND(ISNUMBER(O127),O127&gt;0)),"Rework",IF(X127="Yes","Ready for release",IF(N127="Accepted","Verify completion",IF(OR(M127="Passed",M127="In progress",N127="In review"),"Testing / review",IF(OR(COUNTIFS(J127:L127,"In progress")&gt;0,COUNTIFS(J127:L127,"In review")&gt;0,COUNTIFS(J127:L127,"Done")&gt;0),"In progress",IF(COUNTIFS(J127:N127,"Not assessed")=5,"Not assessed","Planned")))))))))</f>
        <v/>
      </c>
      <c r="X127" s="15">
        <f>IF(AND(J127="Done",OR(K127="Done",K127="Not required"),OR(L127="Done",L127="Not required"),M127="Passed",N127="Accepted",ISNUMBER(O127),O127=0,Q127="",F127&lt;&gt;"",S127&lt;&gt;"",T127&lt;&gt;"",ISNUMBER(U127),OR(AND(K127&lt;&gt;"Not required",L127&lt;&gt;"Not required"),V127&lt;&gt;""),P127&lt;&gt;"Rolled back"),"Yes","No")</f>
        <v/>
      </c>
      <c r="Y127" s="15">
        <f>IF(X127="Yes","Completed",IF(H127="","No deadline",IF(NOT(ISNUMBER(H127)),"Check date",IF(H127&lt;Overview!$I$3,"Overdue",IF(H127&lt;=Overview!$I$3+7,"Due soon","On track")))))</f>
        <v/>
      </c>
      <c r="Z127" s="37">
        <f>IF(AND(X127&lt;&gt;"Yes",ISNUMBER(H127)),MAX(0,Overview!$I$3-H127),0)</f>
        <v/>
      </c>
      <c r="AA127" s="5" t="inlineStr">
        <is>
          <t>Academic Coordinator</t>
        </is>
      </c>
      <c r="AB127" t="inlineStr">
        <is>
          <t>/school/timetable</t>
        </is>
      </c>
    </row>
    <row r="128" ht="35" customHeight="1">
      <c r="A128" s="2" t="inlineStr">
        <is>
          <t>SCR-122</t>
        </is>
      </c>
      <c r="B128" s="5" t="inlineStr">
        <is>
          <t>Period Setup</t>
        </is>
      </c>
      <c r="C128" s="5" t="inlineStr">
        <is>
          <t>Timetable &amp; Substitution</t>
        </is>
      </c>
      <c r="D128" s="2" t="inlineStr">
        <is>
          <t>MVP</t>
        </is>
      </c>
      <c r="E128" s="2" t="inlineStr">
        <is>
          <t>US-0243, US-0244</t>
        </is>
      </c>
      <c r="F128" s="24" t="n"/>
      <c r="G128" s="24" t="n"/>
      <c r="H128" s="32" t="n"/>
      <c r="I128" s="2" t="inlineStr">
        <is>
          <t>Ready</t>
        </is>
      </c>
      <c r="J128" s="33" t="inlineStr">
        <is>
          <t>Done</t>
        </is>
      </c>
      <c r="K128" s="33" t="inlineStr">
        <is>
          <t>Done</t>
        </is>
      </c>
      <c r="L128" s="24" t="inlineStr">
        <is>
          <t>Not assessed</t>
        </is>
      </c>
      <c r="M128" s="24" t="inlineStr">
        <is>
          <t>Not assessed</t>
        </is>
      </c>
      <c r="N128" s="24" t="inlineStr">
        <is>
          <t>Not assessed</t>
        </is>
      </c>
      <c r="O128" s="35" t="n"/>
      <c r="P128" s="24" t="inlineStr">
        <is>
          <t>Not scheduled</t>
        </is>
      </c>
      <c r="Q128" s="24" t="n"/>
      <c r="R128" s="24" t="inlineStr">
        <is>
          <t>Per-day periods with times</t>
        </is>
      </c>
      <c r="S128" s="24" t="n"/>
      <c r="T128" s="24" t="n"/>
      <c r="U128" s="36" t="n">
        <v>46285</v>
      </c>
      <c r="V128" s="24" t="n"/>
      <c r="W128" s="15">
        <f>IF(P128="Production",IF(X128="Yes","Released","Review release"),IF(P128="Rolled back","Rolled back",IF(OR(Q128&lt;&gt;"",COUNTIFS(J128:N128,"Blocked")&gt;0),"Blocked",IF(OR(M128="Failed",N128="Rejected",AND(ISNUMBER(O128),O128&gt;0)),"Rework",IF(X128="Yes","Ready for release",IF(N128="Accepted","Verify completion",IF(OR(M128="Passed",M128="In progress",N128="In review"),"Testing / review",IF(OR(COUNTIFS(J128:L128,"In progress")&gt;0,COUNTIFS(J128:L128,"In review")&gt;0,COUNTIFS(J128:L128,"Done")&gt;0),"In progress",IF(COUNTIFS(J128:N128,"Not assessed")=5,"Not assessed","Planned")))))))))</f>
        <v/>
      </c>
      <c r="X128" s="15">
        <f>IF(AND(J128="Done",OR(K128="Done",K128="Not required"),OR(L128="Done",L128="Not required"),M128="Passed",N128="Accepted",ISNUMBER(O128),O128=0,Q128="",F128&lt;&gt;"",S128&lt;&gt;"",T128&lt;&gt;"",ISNUMBER(U128),OR(AND(K128&lt;&gt;"Not required",L128&lt;&gt;"Not required"),V128&lt;&gt;""),P128&lt;&gt;"Rolled back"),"Yes","No")</f>
        <v/>
      </c>
      <c r="Y128" s="15">
        <f>IF(X128="Yes","Completed",IF(H128="","No deadline",IF(NOT(ISNUMBER(H128)),"Check date",IF(H128&lt;Overview!$I$3,"Overdue",IF(H128&lt;=Overview!$I$3+7,"Due soon","On track")))))</f>
        <v/>
      </c>
      <c r="Z128" s="37">
        <f>IF(AND(X128&lt;&gt;"Yes",ISNUMBER(H128)),MAX(0,Overview!$I$3-H128),0)</f>
        <v/>
      </c>
      <c r="AA128" s="5" t="inlineStr">
        <is>
          <t>Academic Coordinator</t>
        </is>
      </c>
      <c r="AB128" t="inlineStr">
        <is>
          <t>/school/periods</t>
        </is>
      </c>
    </row>
    <row r="129" ht="35" customHeight="1">
      <c r="A129" s="2" t="inlineStr">
        <is>
          <t>SCR-123</t>
        </is>
      </c>
      <c r="B129" s="5" t="inlineStr">
        <is>
          <t>Teacher Availability</t>
        </is>
      </c>
      <c r="C129" s="5" t="inlineStr">
        <is>
          <t>Timetable &amp; Substitution</t>
        </is>
      </c>
      <c r="D129" s="2" t="inlineStr">
        <is>
          <t>MVP</t>
        </is>
      </c>
      <c r="E129" s="2" t="inlineStr">
        <is>
          <t>US-0245, US-0246</t>
        </is>
      </c>
      <c r="F129" s="24" t="n"/>
      <c r="G129" s="24" t="n"/>
      <c r="H129" s="32" t="n"/>
      <c r="I129" s="2" t="inlineStr">
        <is>
          <t>Ready</t>
        </is>
      </c>
      <c r="J129" s="38" t="inlineStr">
        <is>
          <t>In progress</t>
        </is>
      </c>
      <c r="K129" s="38" t="inlineStr">
        <is>
          <t>In progress</t>
        </is>
      </c>
      <c r="L129" s="24" t="inlineStr">
        <is>
          <t>Not assessed</t>
        </is>
      </c>
      <c r="M129" s="24" t="inlineStr">
        <is>
          <t>Not assessed</t>
        </is>
      </c>
      <c r="N129" s="24" t="inlineStr">
        <is>
          <t>Not assessed</t>
        </is>
      </c>
      <c r="O129" s="35" t="n"/>
      <c r="P129" s="24" t="inlineStr">
        <is>
          <t>Not scheduled</t>
        </is>
      </c>
      <c r="Q129" s="24" t="n"/>
      <c r="R129" s="24" t="inlineStr">
        <is>
          <t>Date-range blocks, not a weekly grid</t>
        </is>
      </c>
      <c r="S129" s="24" t="n"/>
      <c r="T129" s="24" t="n"/>
      <c r="U129" s="36" t="n">
        <v>46285</v>
      </c>
      <c r="V129" s="24" t="n"/>
      <c r="W129" s="15">
        <f>IF(P129="Production",IF(X129="Yes","Released","Review release"),IF(P129="Rolled back","Rolled back",IF(OR(Q129&lt;&gt;"",COUNTIFS(J129:N129,"Blocked")&gt;0),"Blocked",IF(OR(M129="Failed",N129="Rejected",AND(ISNUMBER(O129),O129&gt;0)),"Rework",IF(X129="Yes","Ready for release",IF(N129="Accepted","Verify completion",IF(OR(M129="Passed",M129="In progress",N129="In review"),"Testing / review",IF(OR(COUNTIFS(J129:L129,"In progress")&gt;0,COUNTIFS(J129:L129,"In review")&gt;0,COUNTIFS(J129:L129,"Done")&gt;0),"In progress",IF(COUNTIFS(J129:N129,"Not assessed")=5,"Not assessed","Planned")))))))))</f>
        <v/>
      </c>
      <c r="X129" s="15">
        <f>IF(AND(J129="Done",OR(K129="Done",K129="Not required"),OR(L129="Done",L129="Not required"),M129="Passed",N129="Accepted",ISNUMBER(O129),O129=0,Q129="",F129&lt;&gt;"",S129&lt;&gt;"",T129&lt;&gt;"",ISNUMBER(U129),OR(AND(K129&lt;&gt;"Not required",L129&lt;&gt;"Not required"),V129&lt;&gt;""),P129&lt;&gt;"Rolled back"),"Yes","No")</f>
        <v/>
      </c>
      <c r="Y129" s="15">
        <f>IF(X129="Yes","Completed",IF(H129="","No deadline",IF(NOT(ISNUMBER(H129)),"Check date",IF(H129&lt;Overview!$I$3,"Overdue",IF(H129&lt;=Overview!$I$3+7,"Due soon","On track")))))</f>
        <v/>
      </c>
      <c r="Z129" s="37">
        <f>IF(AND(X129&lt;&gt;"Yes",ISNUMBER(H129)),MAX(0,Overview!$I$3-H129),0)</f>
        <v/>
      </c>
      <c r="AA129" s="5" t="inlineStr">
        <is>
          <t>Academic Coordinator</t>
        </is>
      </c>
      <c r="AB129" t="inlineStr">
        <is>
          <t>/school/cover</t>
        </is>
      </c>
    </row>
    <row r="130" ht="35" customHeight="1">
      <c r="A130" s="2" t="inlineStr">
        <is>
          <t>SCR-124</t>
        </is>
      </c>
      <c r="B130" s="5" t="inlineStr">
        <is>
          <t>Generate Timetable</t>
        </is>
      </c>
      <c r="C130" s="5" t="inlineStr">
        <is>
          <t>Timetable &amp; Substitution</t>
        </is>
      </c>
      <c r="D130" s="2" t="inlineStr">
        <is>
          <t>Phase 2</t>
        </is>
      </c>
      <c r="E130" s="2" t="inlineStr">
        <is>
          <t>US-0247, US-0248</t>
        </is>
      </c>
      <c r="F130" s="24" t="n"/>
      <c r="G130" s="24" t="n"/>
      <c r="H130" s="32" t="n"/>
      <c r="I130" s="2" t="inlineStr">
        <is>
          <t>Ready</t>
        </is>
      </c>
      <c r="J130" s="39" t="inlineStr">
        <is>
          <t>Not started</t>
        </is>
      </c>
      <c r="K130" s="39" t="inlineStr">
        <is>
          <t>Not started</t>
        </is>
      </c>
      <c r="L130" s="24" t="inlineStr">
        <is>
          <t>Not assessed</t>
        </is>
      </c>
      <c r="M130" s="24" t="inlineStr">
        <is>
          <t>Not assessed</t>
        </is>
      </c>
      <c r="N130" s="24" t="inlineStr">
        <is>
          <t>Not assessed</t>
        </is>
      </c>
      <c r="O130" s="35" t="n"/>
      <c r="P130" s="24" t="inlineStr">
        <is>
          <t>Not scheduled</t>
        </is>
      </c>
      <c r="Q130" s="24" t="n"/>
      <c r="R130" s="24" t="inlineStr">
        <is>
          <t>No generator; manual entry and copy only</t>
        </is>
      </c>
      <c r="S130" s="24" t="n"/>
      <c r="T130" s="24" t="n"/>
      <c r="U130" s="36" t="n">
        <v>46285</v>
      </c>
      <c r="V130" s="24" t="n"/>
      <c r="W130" s="15">
        <f>IF(P130="Production",IF(X130="Yes","Released","Review release"),IF(P130="Rolled back","Rolled back",IF(OR(Q130&lt;&gt;"",COUNTIFS(J130:N130,"Blocked")&gt;0),"Blocked",IF(OR(M130="Failed",N130="Rejected",AND(ISNUMBER(O130),O130&gt;0)),"Rework",IF(X130="Yes","Ready for release",IF(N130="Accepted","Verify completion",IF(OR(M130="Passed",M130="In progress",N130="In review"),"Testing / review",IF(OR(COUNTIFS(J130:L130,"In progress")&gt;0,COUNTIFS(J130:L130,"In review")&gt;0,COUNTIFS(J130:L130,"Done")&gt;0),"In progress",IF(COUNTIFS(J130:N130,"Not assessed")=5,"Not assessed","Planned")))))))))</f>
        <v/>
      </c>
      <c r="X130" s="15">
        <f>IF(AND(J130="Done",OR(K130="Done",K130="Not required"),OR(L130="Done",L130="Not required"),M130="Passed",N130="Accepted",ISNUMBER(O130),O130=0,Q130="",F130&lt;&gt;"",S130&lt;&gt;"",T130&lt;&gt;"",ISNUMBER(U130),OR(AND(K130&lt;&gt;"Not required",L130&lt;&gt;"Not required"),V130&lt;&gt;""),P130&lt;&gt;"Rolled back"),"Yes","No")</f>
        <v/>
      </c>
      <c r="Y130" s="15">
        <f>IF(X130="Yes","Completed",IF(H130="","No deadline",IF(NOT(ISNUMBER(H130)),"Check date",IF(H130&lt;Overview!$I$3,"Overdue",IF(H130&lt;=Overview!$I$3+7,"Due soon","On track")))))</f>
        <v/>
      </c>
      <c r="Z130" s="37">
        <f>IF(AND(X130&lt;&gt;"Yes",ISNUMBER(H130)),MAX(0,Overview!$I$3-H130),0)</f>
        <v/>
      </c>
      <c r="AA130" s="5" t="inlineStr">
        <is>
          <t>Academic Coordinator</t>
        </is>
      </c>
      <c r="AB130" t="inlineStr">
        <is>
          <t>-</t>
        </is>
      </c>
    </row>
    <row r="131" ht="35" customHeight="1">
      <c r="A131" s="2" t="inlineStr">
        <is>
          <t>SCR-125</t>
        </is>
      </c>
      <c r="B131" s="5" t="inlineStr">
        <is>
          <t>Class Timetable</t>
        </is>
      </c>
      <c r="C131" s="5" t="inlineStr">
        <is>
          <t>Timetable &amp; Substitution</t>
        </is>
      </c>
      <c r="D131" s="2" t="inlineStr">
        <is>
          <t>Phase 2</t>
        </is>
      </c>
      <c r="E131" s="2" t="inlineStr">
        <is>
          <t>US-0249, US-0250</t>
        </is>
      </c>
      <c r="F131" s="24" t="n"/>
      <c r="G131" s="24" t="n"/>
      <c r="H131" s="32" t="n"/>
      <c r="I131" s="2" t="inlineStr">
        <is>
          <t>Ready</t>
        </is>
      </c>
      <c r="J131" s="33" t="inlineStr">
        <is>
          <t>Done</t>
        </is>
      </c>
      <c r="K131" s="33" t="inlineStr">
        <is>
          <t>Done</t>
        </is>
      </c>
      <c r="L131" s="24" t="inlineStr">
        <is>
          <t>Not assessed</t>
        </is>
      </c>
      <c r="M131" s="24" t="inlineStr">
        <is>
          <t>Not assessed</t>
        </is>
      </c>
      <c r="N131" s="24" t="inlineStr">
        <is>
          <t>Not assessed</t>
        </is>
      </c>
      <c r="O131" s="35" t="n"/>
      <c r="P131" s="24" t="inlineStr">
        <is>
          <t>Not scheduled</t>
        </is>
      </c>
      <c r="Q131" s="24" t="n"/>
      <c r="R131" s="24" t="inlineStr">
        <is>
          <t>Section grid with publish; parent read-only</t>
        </is>
      </c>
      <c r="S131" s="24" t="n"/>
      <c r="T131" s="24" t="n"/>
      <c r="U131" s="36" t="n">
        <v>46285</v>
      </c>
      <c r="V131" s="24" t="n"/>
      <c r="W131" s="15">
        <f>IF(P131="Production",IF(X131="Yes","Released","Review release"),IF(P131="Rolled back","Rolled back",IF(OR(Q131&lt;&gt;"",COUNTIFS(J131:N131,"Blocked")&gt;0),"Blocked",IF(OR(M131="Failed",N131="Rejected",AND(ISNUMBER(O131),O131&gt;0)),"Rework",IF(X131="Yes","Ready for release",IF(N131="Accepted","Verify completion",IF(OR(M131="Passed",M131="In progress",N131="In review"),"Testing / review",IF(OR(COUNTIFS(J131:L131,"In progress")&gt;0,COUNTIFS(J131:L131,"In review")&gt;0,COUNTIFS(J131:L131,"Done")&gt;0),"In progress",IF(COUNTIFS(J131:N131,"Not assessed")=5,"Not assessed","Planned")))))))))</f>
        <v/>
      </c>
      <c r="X131" s="15">
        <f>IF(AND(J131="Done",OR(K131="Done",K131="Not required"),OR(L131="Done",L131="Not required"),M131="Passed",N131="Accepted",ISNUMBER(O131),O131=0,Q131="",F131&lt;&gt;"",S131&lt;&gt;"",T131&lt;&gt;"",ISNUMBER(U131),OR(AND(K131&lt;&gt;"Not required",L131&lt;&gt;"Not required"),V131&lt;&gt;""),P131&lt;&gt;"Rolled back"),"Yes","No")</f>
        <v/>
      </c>
      <c r="Y131" s="15">
        <f>IF(X131="Yes","Completed",IF(H131="","No deadline",IF(NOT(ISNUMBER(H131)),"Check date",IF(H131&lt;Overview!$I$3,"Overdue",IF(H131&lt;=Overview!$I$3+7,"Due soon","On track")))))</f>
        <v/>
      </c>
      <c r="Z131" s="37">
        <f>IF(AND(X131&lt;&gt;"Yes",ISNUMBER(H131)),MAX(0,Overview!$I$3-H131),0)</f>
        <v/>
      </c>
      <c r="AA131" s="5" t="inlineStr">
        <is>
          <t>Academic Coordinator</t>
        </is>
      </c>
      <c r="AB131" t="inlineStr">
        <is>
          <t>/school/timetable</t>
        </is>
      </c>
    </row>
    <row r="132" ht="35" customHeight="1">
      <c r="A132" s="2" t="inlineStr">
        <is>
          <t>SCR-126</t>
        </is>
      </c>
      <c r="B132" s="5" t="inlineStr">
        <is>
          <t>Teacher Timetable</t>
        </is>
      </c>
      <c r="C132" s="5" t="inlineStr">
        <is>
          <t>Timetable &amp; Substitution</t>
        </is>
      </c>
      <c r="D132" s="2" t="inlineStr">
        <is>
          <t>Phase 2</t>
        </is>
      </c>
      <c r="E132" s="2" t="inlineStr">
        <is>
          <t>US-0251, US-0252</t>
        </is>
      </c>
      <c r="F132" s="24" t="n"/>
      <c r="G132" s="24" t="n"/>
      <c r="H132" s="32" t="n"/>
      <c r="I132" s="2" t="inlineStr">
        <is>
          <t>Ready</t>
        </is>
      </c>
      <c r="J132" s="38" t="inlineStr">
        <is>
          <t>In progress</t>
        </is>
      </c>
      <c r="K132" s="38" t="inlineStr">
        <is>
          <t>In progress</t>
        </is>
      </c>
      <c r="L132" s="24" t="inlineStr">
        <is>
          <t>Not assessed</t>
        </is>
      </c>
      <c r="M132" s="24" t="inlineStr">
        <is>
          <t>Not assessed</t>
        </is>
      </c>
      <c r="N132" s="24" t="inlineStr">
        <is>
          <t>Not assessed</t>
        </is>
      </c>
      <c r="O132" s="35" t="n"/>
      <c r="P132" s="24" t="inlineStr">
        <is>
          <t>Not scheduled</t>
        </is>
      </c>
      <c r="Q132" s="24" t="n"/>
      <c r="R132" s="24" t="inlineStr">
        <is>
          <t>Own week only; no coordinator view</t>
        </is>
      </c>
      <c r="S132" s="24" t="n"/>
      <c r="T132" s="24" t="n"/>
      <c r="U132" s="36" t="n">
        <v>46285</v>
      </c>
      <c r="V132" s="24" t="n"/>
      <c r="W132" s="15">
        <f>IF(P132="Production",IF(X132="Yes","Released","Review release"),IF(P132="Rolled back","Rolled back",IF(OR(Q132&lt;&gt;"",COUNTIFS(J132:N132,"Blocked")&gt;0),"Blocked",IF(OR(M132="Failed",N132="Rejected",AND(ISNUMBER(O132),O132&gt;0)),"Rework",IF(X132="Yes","Ready for release",IF(N132="Accepted","Verify completion",IF(OR(M132="Passed",M132="In progress",N132="In review"),"Testing / review",IF(OR(COUNTIFS(J132:L132,"In progress")&gt;0,COUNTIFS(J132:L132,"In review")&gt;0,COUNTIFS(J132:L132,"Done")&gt;0),"In progress",IF(COUNTIFS(J132:N132,"Not assessed")=5,"Not assessed","Planned")))))))))</f>
        <v/>
      </c>
      <c r="X132" s="15">
        <f>IF(AND(J132="Done",OR(K132="Done",K132="Not required"),OR(L132="Done",L132="Not required"),M132="Passed",N132="Accepted",ISNUMBER(O132),O132=0,Q132="",F132&lt;&gt;"",S132&lt;&gt;"",T132&lt;&gt;"",ISNUMBER(U132),OR(AND(K132&lt;&gt;"Not required",L132&lt;&gt;"Not required"),V132&lt;&gt;""),P132&lt;&gt;"Rolled back"),"Yes","No")</f>
        <v/>
      </c>
      <c r="Y132" s="15">
        <f>IF(X132="Yes","Completed",IF(H132="","No deadline",IF(NOT(ISNUMBER(H132)),"Check date",IF(H132&lt;Overview!$I$3,"Overdue",IF(H132&lt;=Overview!$I$3+7,"Due soon","On track")))))</f>
        <v/>
      </c>
      <c r="Z132" s="37">
        <f>IF(AND(X132&lt;&gt;"Yes",ISNUMBER(H132)),MAX(0,Overview!$I$3-H132),0)</f>
        <v/>
      </c>
      <c r="AA132" s="5" t="inlineStr">
        <is>
          <t>Academic Coordinator</t>
        </is>
      </c>
      <c r="AB132" t="inlineStr">
        <is>
          <t>/teacher/timetable</t>
        </is>
      </c>
    </row>
    <row r="133" ht="35" customHeight="1">
      <c r="A133" s="2" t="inlineStr">
        <is>
          <t>SCR-127</t>
        </is>
      </c>
      <c r="B133" s="5" t="inlineStr">
        <is>
          <t>Substitution / Replacement</t>
        </is>
      </c>
      <c r="C133" s="5" t="inlineStr">
        <is>
          <t>Timetable &amp; Substitution</t>
        </is>
      </c>
      <c r="D133" s="2" t="inlineStr">
        <is>
          <t>Phase 3</t>
        </is>
      </c>
      <c r="E133" s="2" t="inlineStr">
        <is>
          <t>US-0253, US-0254</t>
        </is>
      </c>
      <c r="F133" s="24" t="n"/>
      <c r="G133" s="24" t="n"/>
      <c r="H133" s="32" t="n"/>
      <c r="I133" s="2" t="inlineStr">
        <is>
          <t>Ready</t>
        </is>
      </c>
      <c r="J133" s="33" t="inlineStr">
        <is>
          <t>Done</t>
        </is>
      </c>
      <c r="K133" s="33" t="inlineStr">
        <is>
          <t>Done</t>
        </is>
      </c>
      <c r="L133" s="24" t="inlineStr">
        <is>
          <t>Not assessed</t>
        </is>
      </c>
      <c r="M133" s="24" t="inlineStr">
        <is>
          <t>Not assessed</t>
        </is>
      </c>
      <c r="N133" s="24" t="inlineStr">
        <is>
          <t>Not assessed</t>
        </is>
      </c>
      <c r="O133" s="35" t="n"/>
      <c r="P133" s="24" t="inlineStr">
        <is>
          <t>Not scheduled</t>
        </is>
      </c>
      <c r="Q133" s="24" t="n"/>
      <c r="R133" s="24" t="inlineStr">
        <is>
          <t>Uncovered slots, candidates, assign, auto-assign</t>
        </is>
      </c>
      <c r="S133" s="24" t="n"/>
      <c r="T133" s="24" t="n"/>
      <c r="U133" s="36" t="n">
        <v>46285</v>
      </c>
      <c r="V133" s="24" t="n"/>
      <c r="W133" s="15">
        <f>IF(P133="Production",IF(X133="Yes","Released","Review release"),IF(P133="Rolled back","Rolled back",IF(OR(Q133&lt;&gt;"",COUNTIFS(J133:N133,"Blocked")&gt;0),"Blocked",IF(OR(M133="Failed",N133="Rejected",AND(ISNUMBER(O133),O133&gt;0)),"Rework",IF(X133="Yes","Ready for release",IF(N133="Accepted","Verify completion",IF(OR(M133="Passed",M133="In progress",N133="In review"),"Testing / review",IF(OR(COUNTIFS(J133:L133,"In progress")&gt;0,COUNTIFS(J133:L133,"In review")&gt;0,COUNTIFS(J133:L133,"Done")&gt;0),"In progress",IF(COUNTIFS(J133:N133,"Not assessed")=5,"Not assessed","Planned")))))))))</f>
        <v/>
      </c>
      <c r="X133" s="15">
        <f>IF(AND(J133="Done",OR(K133="Done",K133="Not required"),OR(L133="Done",L133="Not required"),M133="Passed",N133="Accepted",ISNUMBER(O133),O133=0,Q133="",F133&lt;&gt;"",S133&lt;&gt;"",T133&lt;&gt;"",ISNUMBER(U133),OR(AND(K133&lt;&gt;"Not required",L133&lt;&gt;"Not required"),V133&lt;&gt;""),P133&lt;&gt;"Rolled back"),"Yes","No")</f>
        <v/>
      </c>
      <c r="Y133" s="15">
        <f>IF(X133="Yes","Completed",IF(H133="","No deadline",IF(NOT(ISNUMBER(H133)),"Check date",IF(H133&lt;Overview!$I$3,"Overdue",IF(H133&lt;=Overview!$I$3+7,"Due soon","On track")))))</f>
        <v/>
      </c>
      <c r="Z133" s="37">
        <f>IF(AND(X133&lt;&gt;"Yes",ISNUMBER(H133)),MAX(0,Overview!$I$3-H133),0)</f>
        <v/>
      </c>
      <c r="AA133" s="5" t="inlineStr">
        <is>
          <t>Academic Coordinator</t>
        </is>
      </c>
      <c r="AB133" t="inlineStr">
        <is>
          <t>/school/cover</t>
        </is>
      </c>
    </row>
    <row r="134" ht="35" customHeight="1">
      <c r="A134" s="2" t="inlineStr">
        <is>
          <t>SCR-128</t>
        </is>
      </c>
      <c r="B134" s="5" t="inlineStr">
        <is>
          <t>Homework List</t>
        </is>
      </c>
      <c r="C134" s="5" t="inlineStr">
        <is>
          <t>Homework &amp; Assignments</t>
        </is>
      </c>
      <c r="D134" s="2" t="inlineStr">
        <is>
          <t>MVP</t>
        </is>
      </c>
      <c r="E134" s="2" t="inlineStr">
        <is>
          <t>US-0255, US-0256</t>
        </is>
      </c>
      <c r="F134" s="24" t="n"/>
      <c r="G134" s="24" t="n"/>
      <c r="H134" s="32" t="n"/>
      <c r="I134" s="2" t="inlineStr">
        <is>
          <t>Ready</t>
        </is>
      </c>
      <c r="J134" s="33" t="inlineStr">
        <is>
          <t>Done</t>
        </is>
      </c>
      <c r="K134" s="33" t="inlineStr">
        <is>
          <t>Done</t>
        </is>
      </c>
      <c r="L134" s="24" t="inlineStr">
        <is>
          <t>Not assessed</t>
        </is>
      </c>
      <c r="M134" s="24" t="inlineStr">
        <is>
          <t>Not assessed</t>
        </is>
      </c>
      <c r="N134" s="24" t="inlineStr">
        <is>
          <t>Not assessed</t>
        </is>
      </c>
      <c r="O134" s="35" t="n"/>
      <c r="P134" s="24" t="inlineStr">
        <is>
          <t>Not scheduled</t>
        </is>
      </c>
      <c r="Q134" s="24" t="n"/>
      <c r="R134" s="24" t="inlineStr">
        <is>
          <t>List with due dates, counts, close and reopen</t>
        </is>
      </c>
      <c r="S134" s="24" t="n"/>
      <c r="T134" s="24" t="n"/>
      <c r="U134" s="36" t="n">
        <v>46285</v>
      </c>
      <c r="V134" s="24" t="n"/>
      <c r="W134" s="15">
        <f>IF(P134="Production",IF(X134="Yes","Released","Review release"),IF(P134="Rolled back","Rolled back",IF(OR(Q134&lt;&gt;"",COUNTIFS(J134:N134,"Blocked")&gt;0),"Blocked",IF(OR(M134="Failed",N134="Rejected",AND(ISNUMBER(O134),O134&gt;0)),"Rework",IF(X134="Yes","Ready for release",IF(N134="Accepted","Verify completion",IF(OR(M134="Passed",M134="In progress",N134="In review"),"Testing / review",IF(OR(COUNTIFS(J134:L134,"In progress")&gt;0,COUNTIFS(J134:L134,"In review")&gt;0,COUNTIFS(J134:L134,"Done")&gt;0),"In progress",IF(COUNTIFS(J134:N134,"Not assessed")=5,"Not assessed","Planned")))))))))</f>
        <v/>
      </c>
      <c r="X134" s="15">
        <f>IF(AND(J134="Done",OR(K134="Done",K134="Not required"),OR(L134="Done",L134="Not required"),M134="Passed",N134="Accepted",ISNUMBER(O134),O134=0,Q134="",F134&lt;&gt;"",S134&lt;&gt;"",T134&lt;&gt;"",ISNUMBER(U134),OR(AND(K134&lt;&gt;"Not required",L134&lt;&gt;"Not required"),V134&lt;&gt;""),P134&lt;&gt;"Rolled back"),"Yes","No")</f>
        <v/>
      </c>
      <c r="Y134" s="15">
        <f>IF(X134="Yes","Completed",IF(H134="","No deadline",IF(NOT(ISNUMBER(H134)),"Check date",IF(H134&lt;Overview!$I$3,"Overdue",IF(H134&lt;=Overview!$I$3+7,"Due soon","On track")))))</f>
        <v/>
      </c>
      <c r="Z134" s="37">
        <f>IF(AND(X134&lt;&gt;"Yes",ISNUMBER(H134)),MAX(0,Overview!$I$3-H134),0)</f>
        <v/>
      </c>
      <c r="AA134" s="5" t="inlineStr">
        <is>
          <t>Teacher</t>
        </is>
      </c>
      <c r="AB134" t="inlineStr">
        <is>
          <t>/teacher/homework</t>
        </is>
      </c>
    </row>
    <row r="135" ht="35" customHeight="1">
      <c r="A135" s="2" t="inlineStr">
        <is>
          <t>SCR-129</t>
        </is>
      </c>
      <c r="B135" s="5" t="inlineStr">
        <is>
          <t>Create Homework</t>
        </is>
      </c>
      <c r="C135" s="5" t="inlineStr">
        <is>
          <t>Homework &amp; Assignments</t>
        </is>
      </c>
      <c r="D135" s="2" t="inlineStr">
        <is>
          <t>MVP</t>
        </is>
      </c>
      <c r="E135" s="2" t="inlineStr">
        <is>
          <t>US-0257, US-0258</t>
        </is>
      </c>
      <c r="F135" s="24" t="n"/>
      <c r="G135" s="24" t="n"/>
      <c r="H135" s="32" t="n"/>
      <c r="I135" s="2" t="inlineStr">
        <is>
          <t>Ready</t>
        </is>
      </c>
      <c r="J135" s="33" t="inlineStr">
        <is>
          <t>Done</t>
        </is>
      </c>
      <c r="K135" s="33" t="inlineStr">
        <is>
          <t>Done</t>
        </is>
      </c>
      <c r="L135" s="24" t="inlineStr">
        <is>
          <t>Not assessed</t>
        </is>
      </c>
      <c r="M135" s="24" t="inlineStr">
        <is>
          <t>Not assessed</t>
        </is>
      </c>
      <c r="N135" s="24" t="inlineStr">
        <is>
          <t>Not assessed</t>
        </is>
      </c>
      <c r="O135" s="35" t="n"/>
      <c r="P135" s="24" t="inlineStr">
        <is>
          <t>Not scheduled</t>
        </is>
      </c>
      <c r="Q135" s="24" t="n"/>
      <c r="R135" s="24" t="inlineStr">
        <is>
          <t>Create modal with rubric and attachment</t>
        </is>
      </c>
      <c r="S135" s="24" t="n"/>
      <c r="T135" s="24" t="n"/>
      <c r="U135" s="36" t="n">
        <v>46285</v>
      </c>
      <c r="V135" s="24" t="n"/>
      <c r="W135" s="15">
        <f>IF(P135="Production",IF(X135="Yes","Released","Review release"),IF(P135="Rolled back","Rolled back",IF(OR(Q135&lt;&gt;"",COUNTIFS(J135:N135,"Blocked")&gt;0),"Blocked",IF(OR(M135="Failed",N135="Rejected",AND(ISNUMBER(O135),O135&gt;0)),"Rework",IF(X135="Yes","Ready for release",IF(N135="Accepted","Verify completion",IF(OR(M135="Passed",M135="In progress",N135="In review"),"Testing / review",IF(OR(COUNTIFS(J135:L135,"In progress")&gt;0,COUNTIFS(J135:L135,"In review")&gt;0,COUNTIFS(J135:L135,"Done")&gt;0),"In progress",IF(COUNTIFS(J135:N135,"Not assessed")=5,"Not assessed","Planned")))))))))</f>
        <v/>
      </c>
      <c r="X135" s="15">
        <f>IF(AND(J135="Done",OR(K135="Done",K135="Not required"),OR(L135="Done",L135="Not required"),M135="Passed",N135="Accepted",ISNUMBER(O135),O135=0,Q135="",F135&lt;&gt;"",S135&lt;&gt;"",T135&lt;&gt;"",ISNUMBER(U135),OR(AND(K135&lt;&gt;"Not required",L135&lt;&gt;"Not required"),V135&lt;&gt;""),P135&lt;&gt;"Rolled back"),"Yes","No")</f>
        <v/>
      </c>
      <c r="Y135" s="15">
        <f>IF(X135="Yes","Completed",IF(H135="","No deadline",IF(NOT(ISNUMBER(H135)),"Check date",IF(H135&lt;Overview!$I$3,"Overdue",IF(H135&lt;=Overview!$I$3+7,"Due soon","On track")))))</f>
        <v/>
      </c>
      <c r="Z135" s="37">
        <f>IF(AND(X135&lt;&gt;"Yes",ISNUMBER(H135)),MAX(0,Overview!$I$3-H135),0)</f>
        <v/>
      </c>
      <c r="AA135" s="5" t="inlineStr">
        <is>
          <t>Teacher</t>
        </is>
      </c>
      <c r="AB135" t="inlineStr">
        <is>
          <t>/teacher/homework</t>
        </is>
      </c>
    </row>
    <row r="136" ht="35" customHeight="1">
      <c r="A136" s="2" t="inlineStr">
        <is>
          <t>SCR-130</t>
        </is>
      </c>
      <c r="B136" s="5" t="inlineStr">
        <is>
          <t>Homework Details</t>
        </is>
      </c>
      <c r="C136" s="5" t="inlineStr">
        <is>
          <t>Homework &amp; Assignments</t>
        </is>
      </c>
      <c r="D136" s="2" t="inlineStr">
        <is>
          <t>MVP</t>
        </is>
      </c>
      <c r="E136" s="2" t="inlineStr">
        <is>
          <t>US-0259, US-0260</t>
        </is>
      </c>
      <c r="F136" s="24" t="n"/>
      <c r="G136" s="24" t="n"/>
      <c r="H136" s="32" t="n"/>
      <c r="I136" s="2" t="inlineStr">
        <is>
          <t>Ready</t>
        </is>
      </c>
      <c r="J136" s="33" t="inlineStr">
        <is>
          <t>Done</t>
        </is>
      </c>
      <c r="K136" s="33" t="inlineStr">
        <is>
          <t>Done</t>
        </is>
      </c>
      <c r="L136" s="24" t="inlineStr">
        <is>
          <t>Not assessed</t>
        </is>
      </c>
      <c r="M136" s="24" t="inlineStr">
        <is>
          <t>Not assessed</t>
        </is>
      </c>
      <c r="N136" s="24" t="inlineStr">
        <is>
          <t>Not assessed</t>
        </is>
      </c>
      <c r="O136" s="35" t="n"/>
      <c r="P136" s="24" t="inlineStr">
        <is>
          <t>Not scheduled</t>
        </is>
      </c>
      <c r="Q136" s="24" t="n"/>
      <c r="R136" s="24" t="inlineStr">
        <is>
          <t>Submissions in a modal, no detail page (in a tab, complete)</t>
        </is>
      </c>
      <c r="S136" s="24" t="n"/>
      <c r="T136" s="24" t="n"/>
      <c r="U136" s="36" t="n">
        <v>46285</v>
      </c>
      <c r="V136" s="24" t="n"/>
      <c r="W136" s="15">
        <f>IF(P136="Production",IF(X136="Yes","Released","Review release"),IF(P136="Rolled back","Rolled back",IF(OR(Q136&lt;&gt;"",COUNTIFS(J136:N136,"Blocked")&gt;0),"Blocked",IF(OR(M136="Failed",N136="Rejected",AND(ISNUMBER(O136),O136&gt;0)),"Rework",IF(X136="Yes","Ready for release",IF(N136="Accepted","Verify completion",IF(OR(M136="Passed",M136="In progress",N136="In review"),"Testing / review",IF(OR(COUNTIFS(J136:L136,"In progress")&gt;0,COUNTIFS(J136:L136,"In review")&gt;0,COUNTIFS(J136:L136,"Done")&gt;0),"In progress",IF(COUNTIFS(J136:N136,"Not assessed")=5,"Not assessed","Planned")))))))))</f>
        <v/>
      </c>
      <c r="X136" s="15">
        <f>IF(AND(J136="Done",OR(K136="Done",K136="Not required"),OR(L136="Done",L136="Not required"),M136="Passed",N136="Accepted",ISNUMBER(O136),O136=0,Q136="",F136&lt;&gt;"",S136&lt;&gt;"",T136&lt;&gt;"",ISNUMBER(U136),OR(AND(K136&lt;&gt;"Not required",L136&lt;&gt;"Not required"),V136&lt;&gt;""),P136&lt;&gt;"Rolled back"),"Yes","No")</f>
        <v/>
      </c>
      <c r="Y136" s="15">
        <f>IF(X136="Yes","Completed",IF(H136="","No deadline",IF(NOT(ISNUMBER(H136)),"Check date",IF(H136&lt;Overview!$I$3,"Overdue",IF(H136&lt;=Overview!$I$3+7,"Due soon","On track")))))</f>
        <v/>
      </c>
      <c r="Z136" s="37">
        <f>IF(AND(X136&lt;&gt;"Yes",ISNUMBER(H136)),MAX(0,Overview!$I$3-H136),0)</f>
        <v/>
      </c>
      <c r="AA136" s="5" t="inlineStr">
        <is>
          <t>Teacher</t>
        </is>
      </c>
      <c r="AB136" t="inlineStr">
        <is>
          <t>/teacher/homework</t>
        </is>
      </c>
    </row>
    <row r="137" ht="35" customHeight="1">
      <c r="A137" s="2" t="inlineStr">
        <is>
          <t>SCR-131</t>
        </is>
      </c>
      <c r="B137" s="5" t="inlineStr">
        <is>
          <t>Student Homework View</t>
        </is>
      </c>
      <c r="C137" s="5" t="inlineStr">
        <is>
          <t>Homework &amp; Assignments</t>
        </is>
      </c>
      <c r="D137" s="2" t="inlineStr">
        <is>
          <t>MVP</t>
        </is>
      </c>
      <c r="E137" s="2" t="inlineStr">
        <is>
          <t>US-0261, US-0262</t>
        </is>
      </c>
      <c r="F137" s="24" t="n"/>
      <c r="G137" s="24" t="n"/>
      <c r="H137" s="32" t="n"/>
      <c r="I137" s="2" t="inlineStr">
        <is>
          <t>Ready</t>
        </is>
      </c>
      <c r="J137" s="33" t="inlineStr">
        <is>
          <t>Done</t>
        </is>
      </c>
      <c r="K137" s="33" t="inlineStr">
        <is>
          <t>Done</t>
        </is>
      </c>
      <c r="L137" s="24" t="inlineStr">
        <is>
          <t>Not assessed</t>
        </is>
      </c>
      <c r="M137" s="24" t="inlineStr">
        <is>
          <t>Not assessed</t>
        </is>
      </c>
      <c r="N137" s="24" t="inlineStr">
        <is>
          <t>Not assessed</t>
        </is>
      </c>
      <c r="O137" s="35" t="n"/>
      <c r="P137" s="24" t="inlineStr">
        <is>
          <t>Not scheduled</t>
        </is>
      </c>
      <c r="Q137" s="24" t="n"/>
      <c r="R137" s="24" t="inlineStr">
        <is>
          <t>The child sees their own homework, not via a parent</t>
        </is>
      </c>
      <c r="S137" s="24" t="n"/>
      <c r="T137" s="24" t="n"/>
      <c r="U137" s="36" t="n">
        <v>46285</v>
      </c>
      <c r="V137" s="24" t="n"/>
      <c r="W137" s="15">
        <f>IF(P137="Production",IF(X137="Yes","Released","Review release"),IF(P137="Rolled back","Rolled back",IF(OR(Q137&lt;&gt;"",COUNTIFS(J137:N137,"Blocked")&gt;0),"Blocked",IF(OR(M137="Failed",N137="Rejected",AND(ISNUMBER(O137),O137&gt;0)),"Rework",IF(X137="Yes","Ready for release",IF(N137="Accepted","Verify completion",IF(OR(M137="Passed",M137="In progress",N137="In review"),"Testing / review",IF(OR(COUNTIFS(J137:L137,"In progress")&gt;0,COUNTIFS(J137:L137,"In review")&gt;0,COUNTIFS(J137:L137,"Done")&gt;0),"In progress",IF(COUNTIFS(J137:N137,"Not assessed")=5,"Not assessed","Planned")))))))))</f>
        <v/>
      </c>
      <c r="X137" s="15">
        <f>IF(AND(J137="Done",OR(K137="Done",K137="Not required"),OR(L137="Done",L137="Not required"),M137="Passed",N137="Accepted",ISNUMBER(O137),O137=0,Q137="",F137&lt;&gt;"",S137&lt;&gt;"",T137&lt;&gt;"",ISNUMBER(U137),OR(AND(K137&lt;&gt;"Not required",L137&lt;&gt;"Not required"),V137&lt;&gt;""),P137&lt;&gt;"Rolled back"),"Yes","No")</f>
        <v/>
      </c>
      <c r="Y137" s="15">
        <f>IF(X137="Yes","Completed",IF(H137="","No deadline",IF(NOT(ISNUMBER(H137)),"Check date",IF(H137&lt;Overview!$I$3,"Overdue",IF(H137&lt;=Overview!$I$3+7,"Due soon","On track")))))</f>
        <v/>
      </c>
      <c r="Z137" s="37">
        <f>IF(AND(X137&lt;&gt;"Yes",ISNUMBER(H137)),MAX(0,Overview!$I$3-H137),0)</f>
        <v/>
      </c>
      <c r="AA137" s="5" t="inlineStr">
        <is>
          <t>Student</t>
        </is>
      </c>
      <c r="AB137" t="inlineStr">
        <is>
          <t>/student/homework</t>
        </is>
      </c>
    </row>
    <row r="138" ht="35" customHeight="1">
      <c r="A138" s="2" t="inlineStr">
        <is>
          <t>SCR-132</t>
        </is>
      </c>
      <c r="B138" s="5" t="inlineStr">
        <is>
          <t>Homework Submission</t>
        </is>
      </c>
      <c r="C138" s="5" t="inlineStr">
        <is>
          <t>Homework &amp; Assignments</t>
        </is>
      </c>
      <c r="D138" s="2" t="inlineStr">
        <is>
          <t>MVP</t>
        </is>
      </c>
      <c r="E138" s="2" t="inlineStr">
        <is>
          <t>US-0263, US-0264</t>
        </is>
      </c>
      <c r="F138" s="24" t="n"/>
      <c r="G138" s="24" t="n"/>
      <c r="H138" s="32" t="n"/>
      <c r="I138" s="2" t="inlineStr">
        <is>
          <t>Ready</t>
        </is>
      </c>
      <c r="J138" s="33" t="inlineStr">
        <is>
          <t>Done</t>
        </is>
      </c>
      <c r="K138" s="33" t="inlineStr">
        <is>
          <t>Done</t>
        </is>
      </c>
      <c r="L138" s="24" t="inlineStr">
        <is>
          <t>Not assessed</t>
        </is>
      </c>
      <c r="M138" s="24" t="inlineStr">
        <is>
          <t>Not assessed</t>
        </is>
      </c>
      <c r="N138" s="24" t="inlineStr">
        <is>
          <t>Not assessed</t>
        </is>
      </c>
      <c r="O138" s="35" t="n"/>
      <c r="P138" s="24" t="inlineStr">
        <is>
          <t>Not scheduled</t>
        </is>
      </c>
      <c r="Q138" s="24" t="n"/>
      <c r="R138" s="24" t="inlineStr">
        <is>
          <t>The child hands work in themselves; the record says who did</t>
        </is>
      </c>
      <c r="S138" s="24" t="n"/>
      <c r="T138" s="24" t="n"/>
      <c r="U138" s="36" t="n">
        <v>46285</v>
      </c>
      <c r="V138" s="24" t="n"/>
      <c r="W138" s="15">
        <f>IF(P138="Production",IF(X138="Yes","Released","Review release"),IF(P138="Rolled back","Rolled back",IF(OR(Q138&lt;&gt;"",COUNTIFS(J138:N138,"Blocked")&gt;0),"Blocked",IF(OR(M138="Failed",N138="Rejected",AND(ISNUMBER(O138),O138&gt;0)),"Rework",IF(X138="Yes","Ready for release",IF(N138="Accepted","Verify completion",IF(OR(M138="Passed",M138="In progress",N138="In review"),"Testing / review",IF(OR(COUNTIFS(J138:L138,"In progress")&gt;0,COUNTIFS(J138:L138,"In review")&gt;0,COUNTIFS(J138:L138,"Done")&gt;0),"In progress",IF(COUNTIFS(J138:N138,"Not assessed")=5,"Not assessed","Planned")))))))))</f>
        <v/>
      </c>
      <c r="X138" s="15">
        <f>IF(AND(J138="Done",OR(K138="Done",K138="Not required"),OR(L138="Done",L138="Not required"),M138="Passed",N138="Accepted",ISNUMBER(O138),O138=0,Q138="",F138&lt;&gt;"",S138&lt;&gt;"",T138&lt;&gt;"",ISNUMBER(U138),OR(AND(K138&lt;&gt;"Not required",L138&lt;&gt;"Not required"),V138&lt;&gt;""),P138&lt;&gt;"Rolled back"),"Yes","No")</f>
        <v/>
      </c>
      <c r="Y138" s="15">
        <f>IF(X138="Yes","Completed",IF(H138="","No deadline",IF(NOT(ISNUMBER(H138)),"Check date",IF(H138&lt;Overview!$I$3,"Overdue",IF(H138&lt;=Overview!$I$3+7,"Due soon","On track")))))</f>
        <v/>
      </c>
      <c r="Z138" s="37">
        <f>IF(AND(X138&lt;&gt;"Yes",ISNUMBER(H138)),MAX(0,Overview!$I$3-H138),0)</f>
        <v/>
      </c>
      <c r="AA138" s="5" t="inlineStr">
        <is>
          <t>Student</t>
        </is>
      </c>
      <c r="AB138" t="inlineStr">
        <is>
          <t>/student/homework</t>
        </is>
      </c>
    </row>
    <row r="139" ht="35" customHeight="1">
      <c r="A139" s="2" t="inlineStr">
        <is>
          <t>SCR-133</t>
        </is>
      </c>
      <c r="B139" s="5" t="inlineStr">
        <is>
          <t>Homework Evaluation</t>
        </is>
      </c>
      <c r="C139" s="5" t="inlineStr">
        <is>
          <t>Homework &amp; Assignments</t>
        </is>
      </c>
      <c r="D139" s="2" t="inlineStr">
        <is>
          <t>MVP</t>
        </is>
      </c>
      <c r="E139" s="2" t="inlineStr">
        <is>
          <t>US-0265, US-0266</t>
        </is>
      </c>
      <c r="F139" s="24" t="n"/>
      <c r="G139" s="24" t="n"/>
      <c r="H139" s="32" t="n"/>
      <c r="I139" s="2" t="inlineStr">
        <is>
          <t>Ready</t>
        </is>
      </c>
      <c r="J139" s="33" t="inlineStr">
        <is>
          <t>Done</t>
        </is>
      </c>
      <c r="K139" s="33" t="inlineStr">
        <is>
          <t>Done</t>
        </is>
      </c>
      <c r="L139" s="24" t="inlineStr">
        <is>
          <t>Not assessed</t>
        </is>
      </c>
      <c r="M139" s="24" t="inlineStr">
        <is>
          <t>Not assessed</t>
        </is>
      </c>
      <c r="N139" s="24" t="inlineStr">
        <is>
          <t>Not assessed</t>
        </is>
      </c>
      <c r="O139" s="35" t="n"/>
      <c r="P139" s="24" t="inlineStr">
        <is>
          <t>Not scheduled</t>
        </is>
      </c>
      <c r="Q139" s="24" t="n"/>
      <c r="R139" s="24" t="inlineStr">
        <is>
          <t>Approve, reject and rubric marks in a modal (in a tab, complete)</t>
        </is>
      </c>
      <c r="S139" s="24" t="n"/>
      <c r="T139" s="24" t="n"/>
      <c r="U139" s="36" t="n">
        <v>46285</v>
      </c>
      <c r="V139" s="24" t="n"/>
      <c r="W139" s="15">
        <f>IF(P139="Production",IF(X139="Yes","Released","Review release"),IF(P139="Rolled back","Rolled back",IF(OR(Q139&lt;&gt;"",COUNTIFS(J139:N139,"Blocked")&gt;0),"Blocked",IF(OR(M139="Failed",N139="Rejected",AND(ISNUMBER(O139),O139&gt;0)),"Rework",IF(X139="Yes","Ready for release",IF(N139="Accepted","Verify completion",IF(OR(M139="Passed",M139="In progress",N139="In review"),"Testing / review",IF(OR(COUNTIFS(J139:L139,"In progress")&gt;0,COUNTIFS(J139:L139,"In review")&gt;0,COUNTIFS(J139:L139,"Done")&gt;0),"In progress",IF(COUNTIFS(J139:N139,"Not assessed")=5,"Not assessed","Planned")))))))))</f>
        <v/>
      </c>
      <c r="X139" s="15">
        <f>IF(AND(J139="Done",OR(K139="Done",K139="Not required"),OR(L139="Done",L139="Not required"),M139="Passed",N139="Accepted",ISNUMBER(O139),O139=0,Q139="",F139&lt;&gt;"",S139&lt;&gt;"",T139&lt;&gt;"",ISNUMBER(U139),OR(AND(K139&lt;&gt;"Not required",L139&lt;&gt;"Not required"),V139&lt;&gt;""),P139&lt;&gt;"Rolled back"),"Yes","No")</f>
        <v/>
      </c>
      <c r="Y139" s="15">
        <f>IF(X139="Yes","Completed",IF(H139="","No deadline",IF(NOT(ISNUMBER(H139)),"Check date",IF(H139&lt;Overview!$I$3,"Overdue",IF(H139&lt;=Overview!$I$3+7,"Due soon","On track")))))</f>
        <v/>
      </c>
      <c r="Z139" s="37">
        <f>IF(AND(X139&lt;&gt;"Yes",ISNUMBER(H139)),MAX(0,Overview!$I$3-H139),0)</f>
        <v/>
      </c>
      <c r="AA139" s="5" t="inlineStr">
        <is>
          <t>Teacher</t>
        </is>
      </c>
      <c r="AB139" t="inlineStr">
        <is>
          <t>/teacher/homework</t>
        </is>
      </c>
    </row>
    <row r="140" ht="35" customHeight="1">
      <c r="A140" s="2" t="inlineStr">
        <is>
          <t>SCR-134</t>
        </is>
      </c>
      <c r="B140" s="5" t="inlineStr">
        <is>
          <t>Assignment List</t>
        </is>
      </c>
      <c r="C140" s="5" t="inlineStr">
        <is>
          <t>Homework &amp; Assignments</t>
        </is>
      </c>
      <c r="D140" s="2" t="inlineStr">
        <is>
          <t>Phase 2</t>
        </is>
      </c>
      <c r="E140" s="2" t="inlineStr">
        <is>
          <t>US-0267, US-0268</t>
        </is>
      </c>
      <c r="F140" s="24" t="n"/>
      <c r="G140" s="24" t="n"/>
      <c r="H140" s="32" t="n"/>
      <c r="I140" s="2" t="inlineStr">
        <is>
          <t>Ready</t>
        </is>
      </c>
      <c r="J140" s="33" t="inlineStr">
        <is>
          <t>Done</t>
        </is>
      </c>
      <c r="K140" s="33" t="inlineStr">
        <is>
          <t>Done</t>
        </is>
      </c>
      <c r="L140" s="24" t="inlineStr">
        <is>
          <t>Not assessed</t>
        </is>
      </c>
      <c r="M140" s="24" t="inlineStr">
        <is>
          <t>Not assessed</t>
        </is>
      </c>
      <c r="N140" s="24" t="inlineStr">
        <is>
          <t>Not assessed</t>
        </is>
      </c>
      <c r="O140" s="35" t="n"/>
      <c r="P140" s="24" t="inlineStr">
        <is>
          <t>Not scheduled</t>
        </is>
      </c>
      <c r="Q140" s="24" t="n"/>
      <c r="R140" s="24" t="inlineStr">
        <is>
          <t>Project list with progress counts</t>
        </is>
      </c>
      <c r="S140" s="24" t="n"/>
      <c r="T140" s="24" t="n"/>
      <c r="U140" s="36" t="n">
        <v>46285</v>
      </c>
      <c r="V140" s="24" t="n"/>
      <c r="W140" s="15">
        <f>IF(P140="Production",IF(X140="Yes","Released","Review release"),IF(P140="Rolled back","Rolled back",IF(OR(Q140&lt;&gt;"",COUNTIFS(J140:N140,"Blocked")&gt;0),"Blocked",IF(OR(M140="Failed",N140="Rejected",AND(ISNUMBER(O140),O140&gt;0)),"Rework",IF(X140="Yes","Ready for release",IF(N140="Accepted","Verify completion",IF(OR(M140="Passed",M140="In progress",N140="In review"),"Testing / review",IF(OR(COUNTIFS(J140:L140,"In progress")&gt;0,COUNTIFS(J140:L140,"In review")&gt;0,COUNTIFS(J140:L140,"Done")&gt;0),"In progress",IF(COUNTIFS(J140:N140,"Not assessed")=5,"Not assessed","Planned")))))))))</f>
        <v/>
      </c>
      <c r="X140" s="15">
        <f>IF(AND(J140="Done",OR(K140="Done",K140="Not required"),OR(L140="Done",L140="Not required"),M140="Passed",N140="Accepted",ISNUMBER(O140),O140=0,Q140="",F140&lt;&gt;"",S140&lt;&gt;"",T140&lt;&gt;"",ISNUMBER(U140),OR(AND(K140&lt;&gt;"Not required",L140&lt;&gt;"Not required"),V140&lt;&gt;""),P140&lt;&gt;"Rolled back"),"Yes","No")</f>
        <v/>
      </c>
      <c r="Y140" s="15">
        <f>IF(X140="Yes","Completed",IF(H140="","No deadline",IF(NOT(ISNUMBER(H140)),"Check date",IF(H140&lt;Overview!$I$3,"Overdue",IF(H140&lt;=Overview!$I$3+7,"Due soon","On track")))))</f>
        <v/>
      </c>
      <c r="Z140" s="37">
        <f>IF(AND(X140&lt;&gt;"Yes",ISNUMBER(H140)),MAX(0,Overview!$I$3-H140),0)</f>
        <v/>
      </c>
      <c r="AA140" s="5" t="inlineStr">
        <is>
          <t>Teacher</t>
        </is>
      </c>
      <c r="AB140" t="inlineStr">
        <is>
          <t>/teacher/projects</t>
        </is>
      </c>
    </row>
    <row r="141" ht="35" customHeight="1">
      <c r="A141" s="2" t="inlineStr">
        <is>
          <t>SCR-135</t>
        </is>
      </c>
      <c r="B141" s="5" t="inlineStr">
        <is>
          <t>Create Assignment</t>
        </is>
      </c>
      <c r="C141" s="5" t="inlineStr">
        <is>
          <t>Homework &amp; Assignments</t>
        </is>
      </c>
      <c r="D141" s="2" t="inlineStr">
        <is>
          <t>Phase 2</t>
        </is>
      </c>
      <c r="E141" s="2" t="inlineStr">
        <is>
          <t>US-0269, US-0270</t>
        </is>
      </c>
      <c r="F141" s="24" t="n"/>
      <c r="G141" s="24" t="n"/>
      <c r="H141" s="32" t="n"/>
      <c r="I141" s="2" t="inlineStr">
        <is>
          <t>Ready</t>
        </is>
      </c>
      <c r="J141" s="33" t="inlineStr">
        <is>
          <t>Done</t>
        </is>
      </c>
      <c r="K141" s="33" t="inlineStr">
        <is>
          <t>Done</t>
        </is>
      </c>
      <c r="L141" s="24" t="inlineStr">
        <is>
          <t>Not assessed</t>
        </is>
      </c>
      <c r="M141" s="24" t="inlineStr">
        <is>
          <t>Not assessed</t>
        </is>
      </c>
      <c r="N141" s="24" t="inlineStr">
        <is>
          <t>Not assessed</t>
        </is>
      </c>
      <c r="O141" s="35" t="n"/>
      <c r="P141" s="24" t="inlineStr">
        <is>
          <t>Not scheduled</t>
        </is>
      </c>
      <c r="Q141" s="24" t="n"/>
      <c r="R141" s="24" t="inlineStr">
        <is>
          <t>Create modal with dates and attachment</t>
        </is>
      </c>
      <c r="S141" s="24" t="n"/>
      <c r="T141" s="24" t="n"/>
      <c r="U141" s="36" t="n">
        <v>46285</v>
      </c>
      <c r="V141" s="24" t="n"/>
      <c r="W141" s="15">
        <f>IF(P141="Production",IF(X141="Yes","Released","Review release"),IF(P141="Rolled back","Rolled back",IF(OR(Q141&lt;&gt;"",COUNTIFS(J141:N141,"Blocked")&gt;0),"Blocked",IF(OR(M141="Failed",N141="Rejected",AND(ISNUMBER(O141),O141&gt;0)),"Rework",IF(X141="Yes","Ready for release",IF(N141="Accepted","Verify completion",IF(OR(M141="Passed",M141="In progress",N141="In review"),"Testing / review",IF(OR(COUNTIFS(J141:L141,"In progress")&gt;0,COUNTIFS(J141:L141,"In review")&gt;0,COUNTIFS(J141:L141,"Done")&gt;0),"In progress",IF(COUNTIFS(J141:N141,"Not assessed")=5,"Not assessed","Planned")))))))))</f>
        <v/>
      </c>
      <c r="X141" s="15">
        <f>IF(AND(J141="Done",OR(K141="Done",K141="Not required"),OR(L141="Done",L141="Not required"),M141="Passed",N141="Accepted",ISNUMBER(O141),O141=0,Q141="",F141&lt;&gt;"",S141&lt;&gt;"",T141&lt;&gt;"",ISNUMBER(U141),OR(AND(K141&lt;&gt;"Not required",L141&lt;&gt;"Not required"),V141&lt;&gt;""),P141&lt;&gt;"Rolled back"),"Yes","No")</f>
        <v/>
      </c>
      <c r="Y141" s="15">
        <f>IF(X141="Yes","Completed",IF(H141="","No deadline",IF(NOT(ISNUMBER(H141)),"Check date",IF(H141&lt;Overview!$I$3,"Overdue",IF(H141&lt;=Overview!$I$3+7,"Due soon","On track")))))</f>
        <v/>
      </c>
      <c r="Z141" s="37">
        <f>IF(AND(X141&lt;&gt;"Yes",ISNUMBER(H141)),MAX(0,Overview!$I$3-H141),0)</f>
        <v/>
      </c>
      <c r="AA141" s="5" t="inlineStr">
        <is>
          <t>Teacher</t>
        </is>
      </c>
      <c r="AB141" t="inlineStr">
        <is>
          <t>/teacher/projects</t>
        </is>
      </c>
    </row>
    <row r="142" ht="35" customHeight="1">
      <c r="A142" s="2" t="inlineStr">
        <is>
          <t>SCR-136</t>
        </is>
      </c>
      <c r="B142" s="5" t="inlineStr">
        <is>
          <t>Assignment Submissions</t>
        </is>
      </c>
      <c r="C142" s="5" t="inlineStr">
        <is>
          <t>Homework &amp; Assignments</t>
        </is>
      </c>
      <c r="D142" s="2" t="inlineStr">
        <is>
          <t>Phase 2</t>
        </is>
      </c>
      <c r="E142" s="2" t="inlineStr">
        <is>
          <t>US-0271, US-0272</t>
        </is>
      </c>
      <c r="F142" s="24" t="n"/>
      <c r="G142" s="24" t="n"/>
      <c r="H142" s="32" t="n"/>
      <c r="I142" s="2" t="inlineStr">
        <is>
          <t>Ready</t>
        </is>
      </c>
      <c r="J142" s="33" t="inlineStr">
        <is>
          <t>Done</t>
        </is>
      </c>
      <c r="K142" s="33" t="inlineStr">
        <is>
          <t>Done</t>
        </is>
      </c>
      <c r="L142" s="24" t="inlineStr">
        <is>
          <t>Not assessed</t>
        </is>
      </c>
      <c r="M142" s="24" t="inlineStr">
        <is>
          <t>Not assessed</t>
        </is>
      </c>
      <c r="N142" s="24" t="inlineStr">
        <is>
          <t>Not assessed</t>
        </is>
      </c>
      <c r="O142" s="35" t="n"/>
      <c r="P142" s="24" t="inlineStr">
        <is>
          <t>Not scheduled</t>
        </is>
      </c>
      <c r="Q142" s="24" t="n"/>
      <c r="R142" s="24" t="inlineStr">
        <is>
          <t>Submission with teacher remark and review state</t>
        </is>
      </c>
      <c r="S142" s="24" t="n"/>
      <c r="T142" s="24" t="n"/>
      <c r="U142" s="36" t="n">
        <v>46285</v>
      </c>
      <c r="V142" s="24" t="n"/>
      <c r="W142" s="15">
        <f>IF(P142="Production",IF(X142="Yes","Released","Review release"),IF(P142="Rolled back","Rolled back",IF(OR(Q142&lt;&gt;"",COUNTIFS(J142:N142,"Blocked")&gt;0),"Blocked",IF(OR(M142="Failed",N142="Rejected",AND(ISNUMBER(O142),O142&gt;0)),"Rework",IF(X142="Yes","Ready for release",IF(N142="Accepted","Verify completion",IF(OR(M142="Passed",M142="In progress",N142="In review"),"Testing / review",IF(OR(COUNTIFS(J142:L142,"In progress")&gt;0,COUNTIFS(J142:L142,"In review")&gt;0,COUNTIFS(J142:L142,"Done")&gt;0),"In progress",IF(COUNTIFS(J142:N142,"Not assessed")=5,"Not assessed","Planned")))))))))</f>
        <v/>
      </c>
      <c r="X142" s="15">
        <f>IF(AND(J142="Done",OR(K142="Done",K142="Not required"),OR(L142="Done",L142="Not required"),M142="Passed",N142="Accepted",ISNUMBER(O142),O142=0,Q142="",F142&lt;&gt;"",S142&lt;&gt;"",T142&lt;&gt;"",ISNUMBER(U142),OR(AND(K142&lt;&gt;"Not required",L142&lt;&gt;"Not required"),V142&lt;&gt;""),P142&lt;&gt;"Rolled back"),"Yes","No")</f>
        <v/>
      </c>
      <c r="Y142" s="15">
        <f>IF(X142="Yes","Completed",IF(H142="","No deadline",IF(NOT(ISNUMBER(H142)),"Check date",IF(H142&lt;Overview!$I$3,"Overdue",IF(H142&lt;=Overview!$I$3+7,"Due soon","On track")))))</f>
        <v/>
      </c>
      <c r="Z142" s="37">
        <f>IF(AND(X142&lt;&gt;"Yes",ISNUMBER(H142)),MAX(0,Overview!$I$3-H142),0)</f>
        <v/>
      </c>
      <c r="AA142" s="5" t="inlineStr">
        <is>
          <t>Student</t>
        </is>
      </c>
      <c r="AB142" t="inlineStr">
        <is>
          <t>/student/homework</t>
        </is>
      </c>
    </row>
    <row r="143" ht="35" customHeight="1">
      <c r="A143" s="2" t="inlineStr">
        <is>
          <t>SCR-137</t>
        </is>
      </c>
      <c r="B143" s="5" t="inlineStr">
        <is>
          <t>Assignment Evaluation</t>
        </is>
      </c>
      <c r="C143" s="5" t="inlineStr">
        <is>
          <t>Homework &amp; Assignments</t>
        </is>
      </c>
      <c r="D143" s="2" t="inlineStr">
        <is>
          <t>Phase 3</t>
        </is>
      </c>
      <c r="E143" s="2" t="inlineStr">
        <is>
          <t>US-0273, US-0274</t>
        </is>
      </c>
      <c r="F143" s="24" t="n"/>
      <c r="G143" s="24" t="n"/>
      <c r="H143" s="32" t="n"/>
      <c r="I143" s="2" t="inlineStr">
        <is>
          <t>Ready</t>
        </is>
      </c>
      <c r="J143" s="33" t="inlineStr">
        <is>
          <t>Done</t>
        </is>
      </c>
      <c r="K143" s="33" t="inlineStr">
        <is>
          <t>Done</t>
        </is>
      </c>
      <c r="L143" s="24" t="inlineStr">
        <is>
          <t>Not assessed</t>
        </is>
      </c>
      <c r="M143" s="24" t="inlineStr">
        <is>
          <t>Not assessed</t>
        </is>
      </c>
      <c r="N143" s="24" t="inlineStr">
        <is>
          <t>Not assessed</t>
        </is>
      </c>
      <c r="O143" s="35" t="n"/>
      <c r="P143" s="24" t="inlineStr">
        <is>
          <t>Not scheduled</t>
        </is>
      </c>
      <c r="Q143" s="24" t="n"/>
      <c r="R143" s="24" t="inlineStr">
        <is>
          <t>Per-student remark and rating in a modal (in a tab, complete)</t>
        </is>
      </c>
      <c r="S143" s="24" t="n"/>
      <c r="T143" s="24" t="n"/>
      <c r="U143" s="36" t="n">
        <v>46285</v>
      </c>
      <c r="V143" s="24" t="n"/>
      <c r="W143" s="15">
        <f>IF(P143="Production",IF(X143="Yes","Released","Review release"),IF(P143="Rolled back","Rolled back",IF(OR(Q143&lt;&gt;"",COUNTIFS(J143:N143,"Blocked")&gt;0),"Blocked",IF(OR(M143="Failed",N143="Rejected",AND(ISNUMBER(O143),O143&gt;0)),"Rework",IF(X143="Yes","Ready for release",IF(N143="Accepted","Verify completion",IF(OR(M143="Passed",M143="In progress",N143="In review"),"Testing / review",IF(OR(COUNTIFS(J143:L143,"In progress")&gt;0,COUNTIFS(J143:L143,"In review")&gt;0,COUNTIFS(J143:L143,"Done")&gt;0),"In progress",IF(COUNTIFS(J143:N143,"Not assessed")=5,"Not assessed","Planned")))))))))</f>
        <v/>
      </c>
      <c r="X143" s="15">
        <f>IF(AND(J143="Done",OR(K143="Done",K143="Not required"),OR(L143="Done",L143="Not required"),M143="Passed",N143="Accepted",ISNUMBER(O143),O143=0,Q143="",F143&lt;&gt;"",S143&lt;&gt;"",T143&lt;&gt;"",ISNUMBER(U143),OR(AND(K143&lt;&gt;"Not required",L143&lt;&gt;"Not required"),V143&lt;&gt;""),P143&lt;&gt;"Rolled back"),"Yes","No")</f>
        <v/>
      </c>
      <c r="Y143" s="15">
        <f>IF(X143="Yes","Completed",IF(H143="","No deadline",IF(NOT(ISNUMBER(H143)),"Check date",IF(H143&lt;Overview!$I$3,"Overdue",IF(H143&lt;=Overview!$I$3+7,"Due soon","On track")))))</f>
        <v/>
      </c>
      <c r="Z143" s="37">
        <f>IF(AND(X143&lt;&gt;"Yes",ISNUMBER(H143)),MAX(0,Overview!$I$3-H143),0)</f>
        <v/>
      </c>
      <c r="AA143" s="5" t="inlineStr">
        <is>
          <t>Teacher</t>
        </is>
      </c>
      <c r="AB143" t="inlineStr">
        <is>
          <t>/teacher/projects</t>
        </is>
      </c>
    </row>
    <row r="144" ht="35" customHeight="1">
      <c r="A144" s="2" t="inlineStr">
        <is>
          <t>SCR-138</t>
        </is>
      </c>
      <c r="B144" s="5" t="inlineStr">
        <is>
          <t>Exam Dashboard</t>
        </is>
      </c>
      <c r="C144" s="5" t="inlineStr">
        <is>
          <t>Examinations / Marks / Results</t>
        </is>
      </c>
      <c r="D144" s="2" t="inlineStr">
        <is>
          <t>MVP</t>
        </is>
      </c>
      <c r="E144" s="2" t="inlineStr">
        <is>
          <t>US-0275, US-0276</t>
        </is>
      </c>
      <c r="F144" s="24" t="n"/>
      <c r="G144" s="24" t="n"/>
      <c r="H144" s="32" t="n"/>
      <c r="I144" s="2" t="inlineStr">
        <is>
          <t>Ready</t>
        </is>
      </c>
      <c r="J144" s="33" t="inlineStr">
        <is>
          <t>Done</t>
        </is>
      </c>
      <c r="K144" s="33" t="inlineStr">
        <is>
          <t>Done</t>
        </is>
      </c>
      <c r="L144" s="24" t="inlineStr">
        <is>
          <t>Not assessed</t>
        </is>
      </c>
      <c r="M144" s="24" t="inlineStr">
        <is>
          <t>Not assessed</t>
        </is>
      </c>
      <c r="N144" s="24" t="inlineStr">
        <is>
          <t>Not assessed</t>
        </is>
      </c>
      <c r="O144" s="35" t="n"/>
      <c r="P144" s="24" t="inlineStr">
        <is>
          <t>Not scheduled</t>
        </is>
      </c>
      <c r="Q144" s="24" t="n"/>
      <c r="R144" s="24" t="inlineStr">
        <is>
          <t>Readiness checklist per paper, with what blocks publication</t>
        </is>
      </c>
      <c r="S144" s="24" t="n"/>
      <c r="T144" s="24" t="n"/>
      <c r="U144" s="36" t="n">
        <v>46285</v>
      </c>
      <c r="V144" s="24" t="n"/>
      <c r="W144" s="15">
        <f>IF(P144="Production",IF(X144="Yes","Released","Review release"),IF(P144="Rolled back","Rolled back",IF(OR(Q144&lt;&gt;"",COUNTIFS(J144:N144,"Blocked")&gt;0),"Blocked",IF(OR(M144="Failed",N144="Rejected",AND(ISNUMBER(O144),O144&gt;0)),"Rework",IF(X144="Yes","Ready for release",IF(N144="Accepted","Verify completion",IF(OR(M144="Passed",M144="In progress",N144="In review"),"Testing / review",IF(OR(COUNTIFS(J144:L144,"In progress")&gt;0,COUNTIFS(J144:L144,"In review")&gt;0,COUNTIFS(J144:L144,"Done")&gt;0),"In progress",IF(COUNTIFS(J144:N144,"Not assessed")=5,"Not assessed","Planned")))))))))</f>
        <v/>
      </c>
      <c r="X144" s="15">
        <f>IF(AND(J144="Done",OR(K144="Done",K144="Not required"),OR(L144="Done",L144="Not required"),M144="Passed",N144="Accepted",ISNUMBER(O144),O144=0,Q144="",F144&lt;&gt;"",S144&lt;&gt;"",T144&lt;&gt;"",ISNUMBER(U144),OR(AND(K144&lt;&gt;"Not required",L144&lt;&gt;"Not required"),V144&lt;&gt;""),P144&lt;&gt;"Rolled back"),"Yes","No")</f>
        <v/>
      </c>
      <c r="Y144" s="15">
        <f>IF(X144="Yes","Completed",IF(H144="","No deadline",IF(NOT(ISNUMBER(H144)),"Check date",IF(H144&lt;Overview!$I$3,"Overdue",IF(H144&lt;=Overview!$I$3+7,"Due soon","On track")))))</f>
        <v/>
      </c>
      <c r="Z144" s="37">
        <f>IF(AND(X144&lt;&gt;"Yes",ISNUMBER(H144)),MAX(0,Overview!$I$3-H144),0)</f>
        <v/>
      </c>
      <c r="AA144" s="5" t="inlineStr">
        <is>
          <t>Exam Coordinator</t>
        </is>
      </c>
      <c r="AB144" t="inlineStr">
        <is>
          <t>/school/exams/[id]</t>
        </is>
      </c>
    </row>
    <row r="145" ht="35" customHeight="1">
      <c r="A145" s="2" t="inlineStr">
        <is>
          <t>SCR-139</t>
        </is>
      </c>
      <c r="B145" s="5" t="inlineStr">
        <is>
          <t>Exam Types</t>
        </is>
      </c>
      <c r="C145" s="5" t="inlineStr">
        <is>
          <t>Examinations / Marks / Results</t>
        </is>
      </c>
      <c r="D145" s="2" t="inlineStr">
        <is>
          <t>MVP</t>
        </is>
      </c>
      <c r="E145" s="2" t="inlineStr">
        <is>
          <t>US-0277, US-0278</t>
        </is>
      </c>
      <c r="F145" s="24" t="n"/>
      <c r="G145" s="24" t="n"/>
      <c r="H145" s="32" t="n"/>
      <c r="I145" s="2" t="inlineStr">
        <is>
          <t>Ready</t>
        </is>
      </c>
      <c r="J145" s="33" t="inlineStr">
        <is>
          <t>Done</t>
        </is>
      </c>
      <c r="K145" s="33" t="inlineStr">
        <is>
          <t>Done</t>
        </is>
      </c>
      <c r="L145" s="24" t="inlineStr">
        <is>
          <t>Not assessed</t>
        </is>
      </c>
      <c r="M145" s="24" t="inlineStr">
        <is>
          <t>Not assessed</t>
        </is>
      </c>
      <c r="N145" s="24" t="inlineStr">
        <is>
          <t>Not assessed</t>
        </is>
      </c>
      <c r="O145" s="35" t="n"/>
      <c r="P145" s="24" t="inlineStr">
        <is>
          <t>Not scheduled</t>
        </is>
      </c>
      <c r="Q145" s="24" t="n"/>
      <c r="R145" s="24" t="inlineStr">
        <is>
          <t>Exam types are one card among three (in a tab, complete)</t>
        </is>
      </c>
      <c r="S145" s="24" t="n"/>
      <c r="T145" s="24" t="n"/>
      <c r="U145" s="36" t="n">
        <v>46285</v>
      </c>
      <c r="V145" s="24" t="n"/>
      <c r="W145" s="15">
        <f>IF(P145="Production",IF(X145="Yes","Released","Review release"),IF(P145="Rolled back","Rolled back",IF(OR(Q145&lt;&gt;"",COUNTIFS(J145:N145,"Blocked")&gt;0),"Blocked",IF(OR(M145="Failed",N145="Rejected",AND(ISNUMBER(O145),O145&gt;0)),"Rework",IF(X145="Yes","Ready for release",IF(N145="Accepted","Verify completion",IF(OR(M145="Passed",M145="In progress",N145="In review"),"Testing / review",IF(OR(COUNTIFS(J145:L145,"In progress")&gt;0,COUNTIFS(J145:L145,"In review")&gt;0,COUNTIFS(J145:L145,"Done")&gt;0),"In progress",IF(COUNTIFS(J145:N145,"Not assessed")=5,"Not assessed","Planned")))))))))</f>
        <v/>
      </c>
      <c r="X145" s="15">
        <f>IF(AND(J145="Done",OR(K145="Done",K145="Not required"),OR(L145="Done",L145="Not required"),M145="Passed",N145="Accepted",ISNUMBER(O145),O145=0,Q145="",F145&lt;&gt;"",S145&lt;&gt;"",T145&lt;&gt;"",ISNUMBER(U145),OR(AND(K145&lt;&gt;"Not required",L145&lt;&gt;"Not required"),V145&lt;&gt;""),P145&lt;&gt;"Rolled back"),"Yes","No")</f>
        <v/>
      </c>
      <c r="Y145" s="15">
        <f>IF(X145="Yes","Completed",IF(H145="","No deadline",IF(NOT(ISNUMBER(H145)),"Check date",IF(H145&lt;Overview!$I$3,"Overdue",IF(H145&lt;=Overview!$I$3+7,"Due soon","On track")))))</f>
        <v/>
      </c>
      <c r="Z145" s="37">
        <f>IF(AND(X145&lt;&gt;"Yes",ISNUMBER(H145)),MAX(0,Overview!$I$3-H145),0)</f>
        <v/>
      </c>
      <c r="AA145" s="5" t="inlineStr">
        <is>
          <t>Exam Coordinator</t>
        </is>
      </c>
      <c r="AB145" t="inlineStr">
        <is>
          <t>/school/grading</t>
        </is>
      </c>
    </row>
    <row r="146" ht="35" customHeight="1">
      <c r="A146" s="2" t="inlineStr">
        <is>
          <t>SCR-140</t>
        </is>
      </c>
      <c r="B146" s="5" t="inlineStr">
        <is>
          <t>Exam Setup</t>
        </is>
      </c>
      <c r="C146" s="5" t="inlineStr">
        <is>
          <t>Examinations / Marks / Results</t>
        </is>
      </c>
      <c r="D146" s="2" t="inlineStr">
        <is>
          <t>MVP</t>
        </is>
      </c>
      <c r="E146" s="2" t="inlineStr">
        <is>
          <t>US-0279, US-0280</t>
        </is>
      </c>
      <c r="F146" s="24" t="n"/>
      <c r="G146" s="24" t="n"/>
      <c r="H146" s="32" t="n"/>
      <c r="I146" s="2" t="inlineStr">
        <is>
          <t>Ready</t>
        </is>
      </c>
      <c r="J146" s="33" t="inlineStr">
        <is>
          <t>Done</t>
        </is>
      </c>
      <c r="K146" s="33" t="inlineStr">
        <is>
          <t>Done</t>
        </is>
      </c>
      <c r="L146" s="24" t="inlineStr">
        <is>
          <t>Not assessed</t>
        </is>
      </c>
      <c r="M146" s="24" t="inlineStr">
        <is>
          <t>Not assessed</t>
        </is>
      </c>
      <c r="N146" s="24" t="inlineStr">
        <is>
          <t>Not assessed</t>
        </is>
      </c>
      <c r="O146" s="35" t="n"/>
      <c r="P146" s="24" t="inlineStr">
        <is>
          <t>Not scheduled</t>
        </is>
      </c>
      <c r="Q146" s="24" t="n"/>
      <c r="R146" s="24" t="inlineStr">
        <is>
          <t>Create exam and add papers with marks</t>
        </is>
      </c>
      <c r="S146" s="24" t="n"/>
      <c r="T146" s="24" t="n"/>
      <c r="U146" s="36" t="n">
        <v>46285</v>
      </c>
      <c r="V146" s="24" t="n"/>
      <c r="W146" s="15">
        <f>IF(P146="Production",IF(X146="Yes","Released","Review release"),IF(P146="Rolled back","Rolled back",IF(OR(Q146&lt;&gt;"",COUNTIFS(J146:N146,"Blocked")&gt;0),"Blocked",IF(OR(M146="Failed",N146="Rejected",AND(ISNUMBER(O146),O146&gt;0)),"Rework",IF(X146="Yes","Ready for release",IF(N146="Accepted","Verify completion",IF(OR(M146="Passed",M146="In progress",N146="In review"),"Testing / review",IF(OR(COUNTIFS(J146:L146,"In progress")&gt;0,COUNTIFS(J146:L146,"In review")&gt;0,COUNTIFS(J146:L146,"Done")&gt;0),"In progress",IF(COUNTIFS(J146:N146,"Not assessed")=5,"Not assessed","Planned")))))))))</f>
        <v/>
      </c>
      <c r="X146" s="15">
        <f>IF(AND(J146="Done",OR(K146="Done",K146="Not required"),OR(L146="Done",L146="Not required"),M146="Passed",N146="Accepted",ISNUMBER(O146),O146=0,Q146="",F146&lt;&gt;"",S146&lt;&gt;"",T146&lt;&gt;"",ISNUMBER(U146),OR(AND(K146&lt;&gt;"Not required",L146&lt;&gt;"Not required"),V146&lt;&gt;""),P146&lt;&gt;"Rolled back"),"Yes","No")</f>
        <v/>
      </c>
      <c r="Y146" s="15">
        <f>IF(X146="Yes","Completed",IF(H146="","No deadline",IF(NOT(ISNUMBER(H146)),"Check date",IF(H146&lt;Overview!$I$3,"Overdue",IF(H146&lt;=Overview!$I$3+7,"Due soon","On track")))))</f>
        <v/>
      </c>
      <c r="Z146" s="37">
        <f>IF(AND(X146&lt;&gt;"Yes",ISNUMBER(H146)),MAX(0,Overview!$I$3-H146),0)</f>
        <v/>
      </c>
      <c r="AA146" s="5" t="inlineStr">
        <is>
          <t>Exam Coordinator</t>
        </is>
      </c>
      <c r="AB146" t="inlineStr">
        <is>
          <t>/school/exams</t>
        </is>
      </c>
    </row>
    <row r="147" ht="35" customHeight="1">
      <c r="A147" s="2" t="inlineStr">
        <is>
          <t>SCR-141</t>
        </is>
      </c>
      <c r="B147" s="5" t="inlineStr">
        <is>
          <t>Exam Schedule</t>
        </is>
      </c>
      <c r="C147" s="5" t="inlineStr">
        <is>
          <t>Examinations / Marks / Results</t>
        </is>
      </c>
      <c r="D147" s="2" t="inlineStr">
        <is>
          <t>MVP</t>
        </is>
      </c>
      <c r="E147" s="2" t="inlineStr">
        <is>
          <t>US-0281, US-0282</t>
        </is>
      </c>
      <c r="F147" s="24" t="n"/>
      <c r="G147" s="24" t="n"/>
      <c r="H147" s="32" t="n"/>
      <c r="I147" s="2" t="inlineStr">
        <is>
          <t>Ready</t>
        </is>
      </c>
      <c r="J147" s="33" t="inlineStr">
        <is>
          <t>Done</t>
        </is>
      </c>
      <c r="K147" s="33" t="inlineStr">
        <is>
          <t>Done</t>
        </is>
      </c>
      <c r="L147" s="24" t="inlineStr">
        <is>
          <t>Not assessed</t>
        </is>
      </c>
      <c r="M147" s="24" t="inlineStr">
        <is>
          <t>Not assessed</t>
        </is>
      </c>
      <c r="N147" s="24" t="inlineStr">
        <is>
          <t>Not assessed</t>
        </is>
      </c>
      <c r="O147" s="35" t="n"/>
      <c r="P147" s="24" t="inlineStr">
        <is>
          <t>Not scheduled</t>
        </is>
      </c>
      <c r="Q147" s="24" t="n"/>
      <c r="R147" s="24" t="inlineStr">
        <is>
          <t>Papers by day, with per-class clash detection</t>
        </is>
      </c>
      <c r="S147" s="24" t="n"/>
      <c r="T147" s="24" t="n"/>
      <c r="U147" s="36" t="n">
        <v>46285</v>
      </c>
      <c r="V147" s="24" t="n"/>
      <c r="W147" s="15">
        <f>IF(P147="Production",IF(X147="Yes","Released","Review release"),IF(P147="Rolled back","Rolled back",IF(OR(Q147&lt;&gt;"",COUNTIFS(J147:N147,"Blocked")&gt;0),"Blocked",IF(OR(M147="Failed",N147="Rejected",AND(ISNUMBER(O147),O147&gt;0)),"Rework",IF(X147="Yes","Ready for release",IF(N147="Accepted","Verify completion",IF(OR(M147="Passed",M147="In progress",N147="In review"),"Testing / review",IF(OR(COUNTIFS(J147:L147,"In progress")&gt;0,COUNTIFS(J147:L147,"In review")&gt;0,COUNTIFS(J147:L147,"Done")&gt;0),"In progress",IF(COUNTIFS(J147:N147,"Not assessed")=5,"Not assessed","Planned")))))))))</f>
        <v/>
      </c>
      <c r="X147" s="15">
        <f>IF(AND(J147="Done",OR(K147="Done",K147="Not required"),OR(L147="Done",L147="Not required"),M147="Passed",N147="Accepted",ISNUMBER(O147),O147=0,Q147="",F147&lt;&gt;"",S147&lt;&gt;"",T147&lt;&gt;"",ISNUMBER(U147),OR(AND(K147&lt;&gt;"Not required",L147&lt;&gt;"Not required"),V147&lt;&gt;""),P147&lt;&gt;"Rolled back"),"Yes","No")</f>
        <v/>
      </c>
      <c r="Y147" s="15">
        <f>IF(X147="Yes","Completed",IF(H147="","No deadline",IF(NOT(ISNUMBER(H147)),"Check date",IF(H147&lt;Overview!$I$3,"Overdue",IF(H147&lt;=Overview!$I$3+7,"Due soon","On track")))))</f>
        <v/>
      </c>
      <c r="Z147" s="37">
        <f>IF(AND(X147&lt;&gt;"Yes",ISNUMBER(H147)),MAX(0,Overview!$I$3-H147),0)</f>
        <v/>
      </c>
      <c r="AA147" s="5" t="inlineStr">
        <is>
          <t>Exam Coordinator</t>
        </is>
      </c>
      <c r="AB147" t="inlineStr">
        <is>
          <t>/school/exams/[id]/datesheet</t>
        </is>
      </c>
    </row>
    <row r="148" ht="35" customHeight="1">
      <c r="A148" s="2" t="inlineStr">
        <is>
          <t>SCR-142</t>
        </is>
      </c>
      <c r="B148" s="5" t="inlineStr">
        <is>
          <t>Hall / Room Allocation</t>
        </is>
      </c>
      <c r="C148" s="5" t="inlineStr">
        <is>
          <t>Examinations / Marks / Results</t>
        </is>
      </c>
      <c r="D148" s="2" t="inlineStr">
        <is>
          <t>MVP</t>
        </is>
      </c>
      <c r="E148" s="2" t="inlineStr">
        <is>
          <t>US-0283, US-0284</t>
        </is>
      </c>
      <c r="F148" s="24" t="n"/>
      <c r="G148" s="24" t="n"/>
      <c r="H148" s="32" t="n"/>
      <c r="I148" s="2" t="inlineStr">
        <is>
          <t>Ready</t>
        </is>
      </c>
      <c r="J148" s="33" t="inlineStr">
        <is>
          <t>Done</t>
        </is>
      </c>
      <c r="K148" s="33" t="inlineStr">
        <is>
          <t>Done</t>
        </is>
      </c>
      <c r="L148" s="24" t="inlineStr">
        <is>
          <t>Not assessed</t>
        </is>
      </c>
      <c r="M148" s="24" t="inlineStr">
        <is>
          <t>Not assessed</t>
        </is>
      </c>
      <c r="N148" s="24" t="inlineStr">
        <is>
          <t>Not assessed</t>
        </is>
      </c>
      <c r="O148" s="35" t="n"/>
      <c r="P148" s="24" t="inlineStr">
        <is>
          <t>Not scheduled</t>
        </is>
      </c>
      <c r="Q148" s="24" t="n"/>
      <c r="R148" s="24" t="inlineStr">
        <is>
          <t>Room allocation, fills in order, move a child</t>
        </is>
      </c>
      <c r="S148" s="24" t="n"/>
      <c r="T148" s="24" t="n"/>
      <c r="U148" s="36" t="n">
        <v>46285</v>
      </c>
      <c r="V148" s="24" t="n"/>
      <c r="W148" s="15">
        <f>IF(P148="Production",IF(X148="Yes","Released","Review release"),IF(P148="Rolled back","Rolled back",IF(OR(Q148&lt;&gt;"",COUNTIFS(J148:N148,"Blocked")&gt;0),"Blocked",IF(OR(M148="Failed",N148="Rejected",AND(ISNUMBER(O148),O148&gt;0)),"Rework",IF(X148="Yes","Ready for release",IF(N148="Accepted","Verify completion",IF(OR(M148="Passed",M148="In progress",N148="In review"),"Testing / review",IF(OR(COUNTIFS(J148:L148,"In progress")&gt;0,COUNTIFS(J148:L148,"In review")&gt;0,COUNTIFS(J148:L148,"Done")&gt;0),"In progress",IF(COUNTIFS(J148:N148,"Not assessed")=5,"Not assessed","Planned")))))))))</f>
        <v/>
      </c>
      <c r="X148" s="15">
        <f>IF(AND(J148="Done",OR(K148="Done",K148="Not required"),OR(L148="Done",L148="Not required"),M148="Passed",N148="Accepted",ISNUMBER(O148),O148=0,Q148="",F148&lt;&gt;"",S148&lt;&gt;"",T148&lt;&gt;"",ISNUMBER(U148),OR(AND(K148&lt;&gt;"Not required",L148&lt;&gt;"Not required"),V148&lt;&gt;""),P148&lt;&gt;"Rolled back"),"Yes","No")</f>
        <v/>
      </c>
      <c r="Y148" s="15">
        <f>IF(X148="Yes","Completed",IF(H148="","No deadline",IF(NOT(ISNUMBER(H148)),"Check date",IF(H148&lt;Overview!$I$3,"Overdue",IF(H148&lt;=Overview!$I$3+7,"Due soon","On track")))))</f>
        <v/>
      </c>
      <c r="Z148" s="37">
        <f>IF(AND(X148&lt;&gt;"Yes",ISNUMBER(H148)),MAX(0,Overview!$I$3-H148),0)</f>
        <v/>
      </c>
      <c r="AA148" s="5" t="inlineStr">
        <is>
          <t>Exam Coordinator</t>
        </is>
      </c>
      <c r="AB148" t="inlineStr">
        <is>
          <t>/school/exams/[id]/halls</t>
        </is>
      </c>
    </row>
    <row r="149" ht="35" customHeight="1">
      <c r="A149" s="2" t="inlineStr">
        <is>
          <t>SCR-143</t>
        </is>
      </c>
      <c r="B149" s="5" t="inlineStr">
        <is>
          <t>Invigilation Assignment</t>
        </is>
      </c>
      <c r="C149" s="5" t="inlineStr">
        <is>
          <t>Examinations / Marks / Results</t>
        </is>
      </c>
      <c r="D149" s="2" t="inlineStr">
        <is>
          <t>MVP</t>
        </is>
      </c>
      <c r="E149" s="2" t="inlineStr">
        <is>
          <t>US-0285, US-0286</t>
        </is>
      </c>
      <c r="F149" s="24" t="n"/>
      <c r="G149" s="24" t="n"/>
      <c r="H149" s="32" t="n"/>
      <c r="I149" s="2" t="inlineStr">
        <is>
          <t>Ready</t>
        </is>
      </c>
      <c r="J149" s="33" t="inlineStr">
        <is>
          <t>Done</t>
        </is>
      </c>
      <c r="K149" s="33" t="inlineStr">
        <is>
          <t>Done</t>
        </is>
      </c>
      <c r="L149" s="24" t="inlineStr">
        <is>
          <t>Not assessed</t>
        </is>
      </c>
      <c r="M149" s="24" t="inlineStr">
        <is>
          <t>Not assessed</t>
        </is>
      </c>
      <c r="N149" s="24" t="inlineStr">
        <is>
          <t>Not assessed</t>
        </is>
      </c>
      <c r="O149" s="35" t="n"/>
      <c r="P149" s="24" t="inlineStr">
        <is>
          <t>Not scheduled</t>
        </is>
      </c>
      <c r="Q149" s="24" t="n"/>
      <c r="R149" s="24" t="inlineStr">
        <is>
          <t>Per-room duty with double-booking refused, plus roster</t>
        </is>
      </c>
      <c r="S149" s="24" t="n"/>
      <c r="T149" s="24" t="n"/>
      <c r="U149" s="36" t="n">
        <v>46285</v>
      </c>
      <c r="V149" s="24" t="n"/>
      <c r="W149" s="15">
        <f>IF(P149="Production",IF(X149="Yes","Released","Review release"),IF(P149="Rolled back","Rolled back",IF(OR(Q149&lt;&gt;"",COUNTIFS(J149:N149,"Blocked")&gt;0),"Blocked",IF(OR(M149="Failed",N149="Rejected",AND(ISNUMBER(O149),O149&gt;0)),"Rework",IF(X149="Yes","Ready for release",IF(N149="Accepted","Verify completion",IF(OR(M149="Passed",M149="In progress",N149="In review"),"Testing / review",IF(OR(COUNTIFS(J149:L149,"In progress")&gt;0,COUNTIFS(J149:L149,"In review")&gt;0,COUNTIFS(J149:L149,"Done")&gt;0),"In progress",IF(COUNTIFS(J149:N149,"Not assessed")=5,"Not assessed","Planned")))))))))</f>
        <v/>
      </c>
      <c r="X149" s="15">
        <f>IF(AND(J149="Done",OR(K149="Done",K149="Not required"),OR(L149="Done",L149="Not required"),M149="Passed",N149="Accepted",ISNUMBER(O149),O149=0,Q149="",F149&lt;&gt;"",S149&lt;&gt;"",T149&lt;&gt;"",ISNUMBER(U149),OR(AND(K149&lt;&gt;"Not required",L149&lt;&gt;"Not required"),V149&lt;&gt;""),P149&lt;&gt;"Rolled back"),"Yes","No")</f>
        <v/>
      </c>
      <c r="Y149" s="15">
        <f>IF(X149="Yes","Completed",IF(H149="","No deadline",IF(NOT(ISNUMBER(H149)),"Check date",IF(H149&lt;Overview!$I$3,"Overdue",IF(H149&lt;=Overview!$I$3+7,"Due soon","On track")))))</f>
        <v/>
      </c>
      <c r="Z149" s="37">
        <f>IF(AND(X149&lt;&gt;"Yes",ISNUMBER(H149)),MAX(0,Overview!$I$3-H149),0)</f>
        <v/>
      </c>
      <c r="AA149" s="5" t="inlineStr">
        <is>
          <t>Exam Coordinator</t>
        </is>
      </c>
      <c r="AB149" t="inlineStr">
        <is>
          <t>/school/exams/[id]/invigilation</t>
        </is>
      </c>
    </row>
    <row r="150" ht="35" customHeight="1">
      <c r="A150" s="2" t="inlineStr">
        <is>
          <t>SCR-144</t>
        </is>
      </c>
      <c r="B150" s="5" t="inlineStr">
        <is>
          <t>Admit Card</t>
        </is>
      </c>
      <c r="C150" s="5" t="inlineStr">
        <is>
          <t>Examinations / Marks / Results</t>
        </is>
      </c>
      <c r="D150" s="2" t="inlineStr">
        <is>
          <t>MVP</t>
        </is>
      </c>
      <c r="E150" s="2" t="inlineStr">
        <is>
          <t>US-0287, US-0288</t>
        </is>
      </c>
      <c r="F150" s="24" t="n"/>
      <c r="G150" s="24" t="n"/>
      <c r="H150" s="32" t="n"/>
      <c r="I150" s="2" t="inlineStr">
        <is>
          <t>Ready</t>
        </is>
      </c>
      <c r="J150" s="33" t="inlineStr">
        <is>
          <t>Done</t>
        </is>
      </c>
      <c r="K150" s="33" t="inlineStr">
        <is>
          <t>Done</t>
        </is>
      </c>
      <c r="L150" s="24" t="inlineStr">
        <is>
          <t>Not assessed</t>
        </is>
      </c>
      <c r="M150" s="24" t="inlineStr">
        <is>
          <t>Not assessed</t>
        </is>
      </c>
      <c r="N150" s="24" t="inlineStr">
        <is>
          <t>Not assessed</t>
        </is>
      </c>
      <c r="O150" s="35" t="n"/>
      <c r="P150" s="24" t="inlineStr">
        <is>
          <t>Not scheduled</t>
        </is>
      </c>
      <c r="Q150" s="24" t="n"/>
      <c r="R150" s="24" t="inlineStr">
        <is>
          <t>Per class, with room per paper, prints as PDF</t>
        </is>
      </c>
      <c r="S150" s="24" t="n"/>
      <c r="T150" s="24" t="n"/>
      <c r="U150" s="36" t="n">
        <v>46285</v>
      </c>
      <c r="V150" s="24" t="n"/>
      <c r="W150" s="15">
        <f>IF(P150="Production",IF(X150="Yes","Released","Review release"),IF(P150="Rolled back","Rolled back",IF(OR(Q150&lt;&gt;"",COUNTIFS(J150:N150,"Blocked")&gt;0),"Blocked",IF(OR(M150="Failed",N150="Rejected",AND(ISNUMBER(O150),O150&gt;0)),"Rework",IF(X150="Yes","Ready for release",IF(N150="Accepted","Verify completion",IF(OR(M150="Passed",M150="In progress",N150="In review"),"Testing / review",IF(OR(COUNTIFS(J150:L150,"In progress")&gt;0,COUNTIFS(J150:L150,"In review")&gt;0,COUNTIFS(J150:L150,"Done")&gt;0),"In progress",IF(COUNTIFS(J150:N150,"Not assessed")=5,"Not assessed","Planned")))))))))</f>
        <v/>
      </c>
      <c r="X150" s="15">
        <f>IF(AND(J150="Done",OR(K150="Done",K150="Not required"),OR(L150="Done",L150="Not required"),M150="Passed",N150="Accepted",ISNUMBER(O150),O150=0,Q150="",F150&lt;&gt;"",S150&lt;&gt;"",T150&lt;&gt;"",ISNUMBER(U150),OR(AND(K150&lt;&gt;"Not required",L150&lt;&gt;"Not required"),V150&lt;&gt;""),P150&lt;&gt;"Rolled back"),"Yes","No")</f>
        <v/>
      </c>
      <c r="Y150" s="15">
        <f>IF(X150="Yes","Completed",IF(H150="","No deadline",IF(NOT(ISNUMBER(H150)),"Check date",IF(H150&lt;Overview!$I$3,"Overdue",IF(H150&lt;=Overview!$I$3+7,"Due soon","On track")))))</f>
        <v/>
      </c>
      <c r="Z150" s="37">
        <f>IF(AND(X150&lt;&gt;"Yes",ISNUMBER(H150)),MAX(0,Overview!$I$3-H150),0)</f>
        <v/>
      </c>
      <c r="AA150" s="5" t="inlineStr">
        <is>
          <t>Exam Coordinator</t>
        </is>
      </c>
      <c r="AB150" t="inlineStr">
        <is>
          <t>/school/exams/[id]/admit-cards</t>
        </is>
      </c>
    </row>
    <row r="151" ht="35" customHeight="1">
      <c r="A151" s="2" t="inlineStr">
        <is>
          <t>SCR-145</t>
        </is>
      </c>
      <c r="B151" s="5" t="inlineStr">
        <is>
          <t>Marks Entry</t>
        </is>
      </c>
      <c r="C151" s="5" t="inlineStr">
        <is>
          <t>Examinations / Marks / Results</t>
        </is>
      </c>
      <c r="D151" s="2" t="inlineStr">
        <is>
          <t>MVP</t>
        </is>
      </c>
      <c r="E151" s="2" t="inlineStr">
        <is>
          <t>US-0289, US-0290</t>
        </is>
      </c>
      <c r="F151" s="24" t="n"/>
      <c r="G151" s="24" t="n"/>
      <c r="H151" s="32" t="n"/>
      <c r="I151" s="2" t="inlineStr">
        <is>
          <t>Ready</t>
        </is>
      </c>
      <c r="J151" s="33" t="inlineStr">
        <is>
          <t>Done</t>
        </is>
      </c>
      <c r="K151" s="33" t="inlineStr">
        <is>
          <t>Done</t>
        </is>
      </c>
      <c r="L151" s="24" t="inlineStr">
        <is>
          <t>Not assessed</t>
        </is>
      </c>
      <c r="M151" s="24" t="inlineStr">
        <is>
          <t>Not assessed</t>
        </is>
      </c>
      <c r="N151" s="24" t="inlineStr">
        <is>
          <t>Not assessed</t>
        </is>
      </c>
      <c r="O151" s="35" t="n"/>
      <c r="P151" s="24" t="inlineStr">
        <is>
          <t>Not scheduled</t>
        </is>
      </c>
      <c r="Q151" s="24" t="n"/>
      <c r="R151" s="24" t="inlineStr">
        <is>
          <t>Roster, status, marks, live grade, save</t>
        </is>
      </c>
      <c r="S151" s="24" t="n"/>
      <c r="T151" s="24" t="n"/>
      <c r="U151" s="36" t="n">
        <v>46285</v>
      </c>
      <c r="V151" s="24" t="n"/>
      <c r="W151" s="15">
        <f>IF(P151="Production",IF(X151="Yes","Released","Review release"),IF(P151="Rolled back","Rolled back",IF(OR(Q151&lt;&gt;"",COUNTIFS(J151:N151,"Blocked")&gt;0),"Blocked",IF(OR(M151="Failed",N151="Rejected",AND(ISNUMBER(O151),O151&gt;0)),"Rework",IF(X151="Yes","Ready for release",IF(N151="Accepted","Verify completion",IF(OR(M151="Passed",M151="In progress",N151="In review"),"Testing / review",IF(OR(COUNTIFS(J151:L151,"In progress")&gt;0,COUNTIFS(J151:L151,"In review")&gt;0,COUNTIFS(J151:L151,"Done")&gt;0),"In progress",IF(COUNTIFS(J151:N151,"Not assessed")=5,"Not assessed","Planned")))))))))</f>
        <v/>
      </c>
      <c r="X151" s="15">
        <f>IF(AND(J151="Done",OR(K151="Done",K151="Not required"),OR(L151="Done",L151="Not required"),M151="Passed",N151="Accepted",ISNUMBER(O151),O151=0,Q151="",F151&lt;&gt;"",S151&lt;&gt;"",T151&lt;&gt;"",ISNUMBER(U151),OR(AND(K151&lt;&gt;"Not required",L151&lt;&gt;"Not required"),V151&lt;&gt;""),P151&lt;&gt;"Rolled back"),"Yes","No")</f>
        <v/>
      </c>
      <c r="Y151" s="15">
        <f>IF(X151="Yes","Completed",IF(H151="","No deadline",IF(NOT(ISNUMBER(H151)),"Check date",IF(H151&lt;Overview!$I$3,"Overdue",IF(H151&lt;=Overview!$I$3+7,"Due soon","On track")))))</f>
        <v/>
      </c>
      <c r="Z151" s="37">
        <f>IF(AND(X151&lt;&gt;"Yes",ISNUMBER(H151)),MAX(0,Overview!$I$3-H151),0)</f>
        <v/>
      </c>
      <c r="AA151" s="5" t="inlineStr">
        <is>
          <t>Teacher</t>
        </is>
      </c>
      <c r="AB151" t="inlineStr">
        <is>
          <t>/teacher/marks/papers/[id]</t>
        </is>
      </c>
    </row>
    <row r="152" ht="35" customHeight="1">
      <c r="A152" s="2" t="inlineStr">
        <is>
          <t>SCR-146</t>
        </is>
      </c>
      <c r="B152" s="5" t="inlineStr">
        <is>
          <t>Practical / Internal Marks</t>
        </is>
      </c>
      <c r="C152" s="5" t="inlineStr">
        <is>
          <t>Examinations / Marks / Results</t>
        </is>
      </c>
      <c r="D152" s="2" t="inlineStr">
        <is>
          <t>Phase 2</t>
        </is>
      </c>
      <c r="E152" s="2" t="inlineStr">
        <is>
          <t>US-0291, US-0292</t>
        </is>
      </c>
      <c r="F152" s="24" t="n"/>
      <c r="G152" s="24" t="n"/>
      <c r="H152" s="32" t="n"/>
      <c r="I152" s="2" t="inlineStr">
        <is>
          <t>Ready</t>
        </is>
      </c>
      <c r="J152" s="33" t="inlineStr">
        <is>
          <t>Done</t>
        </is>
      </c>
      <c r="K152" s="33" t="inlineStr">
        <is>
          <t>Done</t>
        </is>
      </c>
      <c r="L152" s="24" t="inlineStr">
        <is>
          <t>Not assessed</t>
        </is>
      </c>
      <c r="M152" s="24" t="inlineStr">
        <is>
          <t>Not assessed</t>
        </is>
      </c>
      <c r="N152" s="24" t="inlineStr">
        <is>
          <t>Not assessed</t>
        </is>
      </c>
      <c r="O152" s="35" t="n"/>
      <c r="P152" s="24" t="inlineStr">
        <is>
          <t>Not scheduled</t>
        </is>
      </c>
      <c r="Q152" s="24" t="n"/>
      <c r="R152" s="24" t="inlineStr">
        <is>
          <t>Parts must add up; the total is their sum</t>
        </is>
      </c>
      <c r="S152" s="24" t="n"/>
      <c r="T152" s="24" t="n"/>
      <c r="U152" s="36" t="n">
        <v>46285</v>
      </c>
      <c r="V152" s="24" t="n"/>
      <c r="W152" s="15">
        <f>IF(P152="Production",IF(X152="Yes","Released","Review release"),IF(P152="Rolled back","Rolled back",IF(OR(Q152&lt;&gt;"",COUNTIFS(J152:N152,"Blocked")&gt;0),"Blocked",IF(OR(M152="Failed",N152="Rejected",AND(ISNUMBER(O152),O152&gt;0)),"Rework",IF(X152="Yes","Ready for release",IF(N152="Accepted","Verify completion",IF(OR(M152="Passed",M152="In progress",N152="In review"),"Testing / review",IF(OR(COUNTIFS(J152:L152,"In progress")&gt;0,COUNTIFS(J152:L152,"In review")&gt;0,COUNTIFS(J152:L152,"Done")&gt;0),"In progress",IF(COUNTIFS(J152:N152,"Not assessed")=5,"Not assessed","Planned")))))))))</f>
        <v/>
      </c>
      <c r="X152" s="15">
        <f>IF(AND(J152="Done",OR(K152="Done",K152="Not required"),OR(L152="Done",L152="Not required"),M152="Passed",N152="Accepted",ISNUMBER(O152),O152=0,Q152="",F152&lt;&gt;"",S152&lt;&gt;"",T152&lt;&gt;"",ISNUMBER(U152),OR(AND(K152&lt;&gt;"Not required",L152&lt;&gt;"Not required"),V152&lt;&gt;""),P152&lt;&gt;"Rolled back"),"Yes","No")</f>
        <v/>
      </c>
      <c r="Y152" s="15">
        <f>IF(X152="Yes","Completed",IF(H152="","No deadline",IF(NOT(ISNUMBER(H152)),"Check date",IF(H152&lt;Overview!$I$3,"Overdue",IF(H152&lt;=Overview!$I$3+7,"Due soon","On track")))))</f>
        <v/>
      </c>
      <c r="Z152" s="37">
        <f>IF(AND(X152&lt;&gt;"Yes",ISNUMBER(H152)),MAX(0,Overview!$I$3-H152),0)</f>
        <v/>
      </c>
      <c r="AA152" s="5" t="inlineStr">
        <is>
          <t>Teacher</t>
        </is>
      </c>
      <c r="AB152" t="inlineStr">
        <is>
          <t>/school/exams/papers/[paperId]/components</t>
        </is>
      </c>
    </row>
    <row r="153" ht="35" customHeight="1">
      <c r="A153" s="2" t="inlineStr">
        <is>
          <t>SCR-147</t>
        </is>
      </c>
      <c r="B153" s="5" t="inlineStr">
        <is>
          <t>Bulk Marks Import</t>
        </is>
      </c>
      <c r="C153" s="5" t="inlineStr">
        <is>
          <t>Examinations / Marks / Results</t>
        </is>
      </c>
      <c r="D153" s="2" t="inlineStr">
        <is>
          <t>Phase 2</t>
        </is>
      </c>
      <c r="E153" s="2" t="inlineStr">
        <is>
          <t>US-0293, US-0294</t>
        </is>
      </c>
      <c r="F153" s="24" t="n"/>
      <c r="G153" s="24" t="n"/>
      <c r="H153" s="32" t="n"/>
      <c r="I153" s="2" t="inlineStr">
        <is>
          <t>Ready</t>
        </is>
      </c>
      <c r="J153" s="33" t="inlineStr">
        <is>
          <t>Done</t>
        </is>
      </c>
      <c r="K153" s="33" t="inlineStr">
        <is>
          <t>Done</t>
        </is>
      </c>
      <c r="L153" s="24" t="inlineStr">
        <is>
          <t>Not assessed</t>
        </is>
      </c>
      <c r="M153" s="24" t="inlineStr">
        <is>
          <t>Not assessed</t>
        </is>
      </c>
      <c r="N153" s="24" t="inlineStr">
        <is>
          <t>Not assessed</t>
        </is>
      </c>
      <c r="O153" s="35" t="n"/>
      <c r="P153" s="24" t="inlineStr">
        <is>
          <t>Not scheduled</t>
        </is>
      </c>
      <c r="Q153" s="24" t="n"/>
      <c r="R153" s="24" t="inlineStr">
        <is>
          <t>Teacher uploads for their own paper, checked before written</t>
        </is>
      </c>
      <c r="S153" s="24" t="n"/>
      <c r="T153" s="24" t="n"/>
      <c r="U153" s="36" t="n">
        <v>46285</v>
      </c>
      <c r="V153" s="24" t="n"/>
      <c r="W153" s="15">
        <f>IF(P153="Production",IF(X153="Yes","Released","Review release"),IF(P153="Rolled back","Rolled back",IF(OR(Q153&lt;&gt;"",COUNTIFS(J153:N153,"Blocked")&gt;0),"Blocked",IF(OR(M153="Failed",N153="Rejected",AND(ISNUMBER(O153),O153&gt;0)),"Rework",IF(X153="Yes","Ready for release",IF(N153="Accepted","Verify completion",IF(OR(M153="Passed",M153="In progress",N153="In review"),"Testing / review",IF(OR(COUNTIFS(J153:L153,"In progress")&gt;0,COUNTIFS(J153:L153,"In review")&gt;0,COUNTIFS(J153:L153,"Done")&gt;0),"In progress",IF(COUNTIFS(J153:N153,"Not assessed")=5,"Not assessed","Planned")))))))))</f>
        <v/>
      </c>
      <c r="X153" s="15">
        <f>IF(AND(J153="Done",OR(K153="Done",K153="Not required"),OR(L153="Done",L153="Not required"),M153="Passed",N153="Accepted",ISNUMBER(O153),O153=0,Q153="",F153&lt;&gt;"",S153&lt;&gt;"",T153&lt;&gt;"",ISNUMBER(U153),OR(AND(K153&lt;&gt;"Not required",L153&lt;&gt;"Not required"),V153&lt;&gt;""),P153&lt;&gt;"Rolled back"),"Yes","No")</f>
        <v/>
      </c>
      <c r="Y153" s="15">
        <f>IF(X153="Yes","Completed",IF(H153="","No deadline",IF(NOT(ISNUMBER(H153)),"Check date",IF(H153&lt;Overview!$I$3,"Overdue",IF(H153&lt;=Overview!$I$3+7,"Due soon","On track")))))</f>
        <v/>
      </c>
      <c r="Z153" s="37">
        <f>IF(AND(X153&lt;&gt;"Yes",ISNUMBER(H153)),MAX(0,Overview!$I$3-H153),0)</f>
        <v/>
      </c>
      <c r="AA153" s="5" t="inlineStr">
        <is>
          <t>Teacher</t>
        </is>
      </c>
      <c r="AB153" t="inlineStr">
        <is>
          <t>/teacher/marks/papers/[id]/import</t>
        </is>
      </c>
    </row>
    <row r="154" ht="35" customHeight="1">
      <c r="A154" s="2" t="inlineStr">
        <is>
          <t>SCR-148</t>
        </is>
      </c>
      <c r="B154" s="5" t="inlineStr">
        <is>
          <t>Marks Verification</t>
        </is>
      </c>
      <c r="C154" s="5" t="inlineStr">
        <is>
          <t>Examinations / Marks / Results</t>
        </is>
      </c>
      <c r="D154" s="2" t="inlineStr">
        <is>
          <t>Phase 2</t>
        </is>
      </c>
      <c r="E154" s="2" t="inlineStr">
        <is>
          <t>US-0295, US-0296</t>
        </is>
      </c>
      <c r="F154" s="24" t="n"/>
      <c r="G154" s="24" t="n"/>
      <c r="H154" s="32" t="n"/>
      <c r="I154" s="2" t="inlineStr">
        <is>
          <t>Ready</t>
        </is>
      </c>
      <c r="J154" s="33" t="inlineStr">
        <is>
          <t>Done</t>
        </is>
      </c>
      <c r="K154" s="33" t="inlineStr">
        <is>
          <t>Done</t>
        </is>
      </c>
      <c r="L154" s="24" t="inlineStr">
        <is>
          <t>Not assessed</t>
        </is>
      </c>
      <c r="M154" s="24" t="inlineStr">
        <is>
          <t>Not assessed</t>
        </is>
      </c>
      <c r="N154" s="24" t="inlineStr">
        <is>
          <t>Not assessed</t>
        </is>
      </c>
      <c r="O154" s="35" t="n"/>
      <c r="P154" s="24" t="inlineStr">
        <is>
          <t>Not scheduled</t>
        </is>
      </c>
      <c r="Q154" s="24" t="n"/>
      <c r="R154" s="24" t="inlineStr">
        <is>
          <t>Sign off a paper; refuses whoever entered the marks</t>
        </is>
      </c>
      <c r="S154" s="24" t="n"/>
      <c r="T154" s="24" t="n"/>
      <c r="U154" s="36" t="n">
        <v>46285</v>
      </c>
      <c r="V154" s="24" t="n"/>
      <c r="W154" s="15">
        <f>IF(P154="Production",IF(X154="Yes","Released","Review release"),IF(P154="Rolled back","Rolled back",IF(OR(Q154&lt;&gt;"",COUNTIFS(J154:N154,"Blocked")&gt;0),"Blocked",IF(OR(M154="Failed",N154="Rejected",AND(ISNUMBER(O154),O154&gt;0)),"Rework",IF(X154="Yes","Ready for release",IF(N154="Accepted","Verify completion",IF(OR(M154="Passed",M154="In progress",N154="In review"),"Testing / review",IF(OR(COUNTIFS(J154:L154,"In progress")&gt;0,COUNTIFS(J154:L154,"In review")&gt;0,COUNTIFS(J154:L154,"Done")&gt;0),"In progress",IF(COUNTIFS(J154:N154,"Not assessed")=5,"Not assessed","Planned")))))))))</f>
        <v/>
      </c>
      <c r="X154" s="15">
        <f>IF(AND(J154="Done",OR(K154="Done",K154="Not required"),OR(L154="Done",L154="Not required"),M154="Passed",N154="Accepted",ISNUMBER(O154),O154=0,Q154="",F154&lt;&gt;"",S154&lt;&gt;"",T154&lt;&gt;"",ISNUMBER(U154),OR(AND(K154&lt;&gt;"Not required",L154&lt;&gt;"Not required"),V154&lt;&gt;""),P154&lt;&gt;"Rolled back"),"Yes","No")</f>
        <v/>
      </c>
      <c r="Y154" s="15">
        <f>IF(X154="Yes","Completed",IF(H154="","No deadline",IF(NOT(ISNUMBER(H154)),"Check date",IF(H154&lt;Overview!$I$3,"Overdue",IF(H154&lt;=Overview!$I$3+7,"Due soon","On track")))))</f>
        <v/>
      </c>
      <c r="Z154" s="37">
        <f>IF(AND(X154&lt;&gt;"Yes",ISNUMBER(H154)),MAX(0,Overview!$I$3-H154),0)</f>
        <v/>
      </c>
      <c r="AA154" s="5" t="inlineStr">
        <is>
          <t>Teacher</t>
        </is>
      </c>
      <c r="AB154" t="inlineStr">
        <is>
          <t>/school/exams</t>
        </is>
      </c>
    </row>
    <row r="155" ht="35" customHeight="1">
      <c r="A155" s="2" t="inlineStr">
        <is>
          <t>SCR-149</t>
        </is>
      </c>
      <c r="B155" s="5" t="inlineStr">
        <is>
          <t>Grade / Grading Setup</t>
        </is>
      </c>
      <c r="C155" s="5" t="inlineStr">
        <is>
          <t>Examinations / Marks / Results</t>
        </is>
      </c>
      <c r="D155" s="2" t="inlineStr">
        <is>
          <t>Phase 2</t>
        </is>
      </c>
      <c r="E155" s="2" t="inlineStr">
        <is>
          <t>US-0297, US-0298</t>
        </is>
      </c>
      <c r="F155" s="24" t="n"/>
      <c r="G155" s="24" t="n"/>
      <c r="H155" s="32" t="n"/>
      <c r="I155" s="2" t="inlineStr">
        <is>
          <t>Ready</t>
        </is>
      </c>
      <c r="J155" s="33" t="inlineStr">
        <is>
          <t>Done</t>
        </is>
      </c>
      <c r="K155" s="33" t="inlineStr">
        <is>
          <t>Done</t>
        </is>
      </c>
      <c r="L155" s="24" t="inlineStr">
        <is>
          <t>Not assessed</t>
        </is>
      </c>
      <c r="M155" s="24" t="inlineStr">
        <is>
          <t>Not assessed</t>
        </is>
      </c>
      <c r="N155" s="24" t="inlineStr">
        <is>
          <t>Not assessed</t>
        </is>
      </c>
      <c r="O155" s="35" t="n"/>
      <c r="P155" s="24" t="inlineStr">
        <is>
          <t>Not scheduled</t>
        </is>
      </c>
      <c r="Q155" s="24" t="n"/>
      <c r="R155" s="24" t="inlineStr">
        <is>
          <t>Scale CRUD, bands, seed, default</t>
        </is>
      </c>
      <c r="S155" s="24" t="n"/>
      <c r="T155" s="24" t="n"/>
      <c r="U155" s="36" t="n">
        <v>46285</v>
      </c>
      <c r="V155" s="24" t="n"/>
      <c r="W155" s="15">
        <f>IF(P155="Production",IF(X155="Yes","Released","Review release"),IF(P155="Rolled back","Rolled back",IF(OR(Q155&lt;&gt;"",COUNTIFS(J155:N155,"Blocked")&gt;0),"Blocked",IF(OR(M155="Failed",N155="Rejected",AND(ISNUMBER(O155),O155&gt;0)),"Rework",IF(X155="Yes","Ready for release",IF(N155="Accepted","Verify completion",IF(OR(M155="Passed",M155="In progress",N155="In review"),"Testing / review",IF(OR(COUNTIFS(J155:L155,"In progress")&gt;0,COUNTIFS(J155:L155,"In review")&gt;0,COUNTIFS(J155:L155,"Done")&gt;0),"In progress",IF(COUNTIFS(J155:N155,"Not assessed")=5,"Not assessed","Planned")))))))))</f>
        <v/>
      </c>
      <c r="X155" s="15">
        <f>IF(AND(J155="Done",OR(K155="Done",K155="Not required"),OR(L155="Done",L155="Not required"),M155="Passed",N155="Accepted",ISNUMBER(O155),O155=0,Q155="",F155&lt;&gt;"",S155&lt;&gt;"",T155&lt;&gt;"",ISNUMBER(U155),OR(AND(K155&lt;&gt;"Not required",L155&lt;&gt;"Not required"),V155&lt;&gt;""),P155&lt;&gt;"Rolled back"),"Yes","No")</f>
        <v/>
      </c>
      <c r="Y155" s="15">
        <f>IF(X155="Yes","Completed",IF(H155="","No deadline",IF(NOT(ISNUMBER(H155)),"Check date",IF(H155&lt;Overview!$I$3,"Overdue",IF(H155&lt;=Overview!$I$3+7,"Due soon","On track")))))</f>
        <v/>
      </c>
      <c r="Z155" s="37">
        <f>IF(AND(X155&lt;&gt;"Yes",ISNUMBER(H155)),MAX(0,Overview!$I$3-H155),0)</f>
        <v/>
      </c>
      <c r="AA155" s="5" t="inlineStr">
        <is>
          <t>Exam Coordinator</t>
        </is>
      </c>
      <c r="AB155" t="inlineStr">
        <is>
          <t>/school/grading</t>
        </is>
      </c>
    </row>
    <row r="156" ht="35" customHeight="1">
      <c r="A156" s="2" t="inlineStr">
        <is>
          <t>SCR-150</t>
        </is>
      </c>
      <c r="B156" s="5" t="inlineStr">
        <is>
          <t>Publish Results</t>
        </is>
      </c>
      <c r="C156" s="5" t="inlineStr">
        <is>
          <t>Examinations / Marks / Results</t>
        </is>
      </c>
      <c r="D156" s="2" t="inlineStr">
        <is>
          <t>Phase 3</t>
        </is>
      </c>
      <c r="E156" s="2" t="inlineStr">
        <is>
          <t>US-0299, US-0300</t>
        </is>
      </c>
      <c r="F156" s="24" t="n"/>
      <c r="G156" s="24" t="n"/>
      <c r="H156" s="32" t="n"/>
      <c r="I156" s="2" t="inlineStr">
        <is>
          <t>Ready</t>
        </is>
      </c>
      <c r="J156" s="33" t="inlineStr">
        <is>
          <t>Done</t>
        </is>
      </c>
      <c r="K156" s="33" t="inlineStr">
        <is>
          <t>Done</t>
        </is>
      </c>
      <c r="L156" s="24" t="inlineStr">
        <is>
          <t>Not assessed</t>
        </is>
      </c>
      <c r="M156" s="24" t="inlineStr">
        <is>
          <t>Not assessed</t>
        </is>
      </c>
      <c r="N156" s="24" t="inlineStr">
        <is>
          <t>Not assessed</t>
        </is>
      </c>
      <c r="O156" s="35" t="n"/>
      <c r="P156" s="24" t="inlineStr">
        <is>
          <t>Not scheduled</t>
        </is>
      </c>
      <c r="Q156" s="24" t="n"/>
      <c r="R156" s="24" t="inlineStr">
        <is>
          <t>Principal publishes, told what is outstanding first</t>
        </is>
      </c>
      <c r="S156" s="24" t="n"/>
      <c r="T156" s="24" t="n"/>
      <c r="U156" s="36" t="n">
        <v>46285</v>
      </c>
      <c r="V156" s="24" t="n"/>
      <c r="W156" s="15">
        <f>IF(P156="Production",IF(X156="Yes","Released","Review release"),IF(P156="Rolled back","Rolled back",IF(OR(Q156&lt;&gt;"",COUNTIFS(J156:N156,"Blocked")&gt;0),"Blocked",IF(OR(M156="Failed",N156="Rejected",AND(ISNUMBER(O156),O156&gt;0)),"Rework",IF(X156="Yes","Ready for release",IF(N156="Accepted","Verify completion",IF(OR(M156="Passed",M156="In progress",N156="In review"),"Testing / review",IF(OR(COUNTIFS(J156:L156,"In progress")&gt;0,COUNTIFS(J156:L156,"In review")&gt;0,COUNTIFS(J156:L156,"Done")&gt;0),"In progress",IF(COUNTIFS(J156:N156,"Not assessed")=5,"Not assessed","Planned")))))))))</f>
        <v/>
      </c>
      <c r="X156" s="15">
        <f>IF(AND(J156="Done",OR(K156="Done",K156="Not required"),OR(L156="Done",L156="Not required"),M156="Passed",N156="Accepted",ISNUMBER(O156),O156=0,Q156="",F156&lt;&gt;"",S156&lt;&gt;"",T156&lt;&gt;"",ISNUMBER(U156),OR(AND(K156&lt;&gt;"Not required",L156&lt;&gt;"Not required"),V156&lt;&gt;""),P156&lt;&gt;"Rolled back"),"Yes","No")</f>
        <v/>
      </c>
      <c r="Y156" s="15">
        <f>IF(X156="Yes","Completed",IF(H156="","No deadline",IF(NOT(ISNUMBER(H156)),"Check date",IF(H156&lt;Overview!$I$3,"Overdue",IF(H156&lt;=Overview!$I$3+7,"Due soon","On track")))))</f>
        <v/>
      </c>
      <c r="Z156" s="37">
        <f>IF(AND(X156&lt;&gt;"Yes",ISNUMBER(H156)),MAX(0,Overview!$I$3-H156),0)</f>
        <v/>
      </c>
      <c r="AA156" s="5" t="inlineStr">
        <is>
          <t>Principal</t>
        </is>
      </c>
      <c r="AB156" t="inlineStr">
        <is>
          <t>/principal/exams</t>
        </is>
      </c>
    </row>
    <row r="157" ht="35" customHeight="1">
      <c r="A157" s="2" t="inlineStr">
        <is>
          <t>SCR-151</t>
        </is>
      </c>
      <c r="B157" s="5" t="inlineStr">
        <is>
          <t>Student Result</t>
        </is>
      </c>
      <c r="C157" s="5" t="inlineStr">
        <is>
          <t>Examinations / Marks / Results</t>
        </is>
      </c>
      <c r="D157" s="2" t="inlineStr">
        <is>
          <t>Phase 3</t>
        </is>
      </c>
      <c r="E157" s="2" t="inlineStr">
        <is>
          <t>US-0301, US-0302</t>
        </is>
      </c>
      <c r="F157" s="24" t="n"/>
      <c r="G157" s="24" t="n"/>
      <c r="H157" s="32" t="n"/>
      <c r="I157" s="2" t="inlineStr">
        <is>
          <t>Ready</t>
        </is>
      </c>
      <c r="J157" s="33" t="inlineStr">
        <is>
          <t>Done</t>
        </is>
      </c>
      <c r="K157" s="33" t="inlineStr">
        <is>
          <t>Done</t>
        </is>
      </c>
      <c r="L157" s="24" t="inlineStr">
        <is>
          <t>Not assessed</t>
        </is>
      </c>
      <c r="M157" s="24" t="inlineStr">
        <is>
          <t>Not assessed</t>
        </is>
      </c>
      <c r="N157" s="24" t="inlineStr">
        <is>
          <t>Not assessed</t>
        </is>
      </c>
      <c r="O157" s="35" t="n"/>
      <c r="P157" s="24" t="inlineStr">
        <is>
          <t>Not scheduled</t>
        </is>
      </c>
      <c r="Q157" s="24" t="n"/>
      <c r="R157" s="24" t="inlineStr">
        <is>
          <t>Published only, withheld stays withheld</t>
        </is>
      </c>
      <c r="S157" s="24" t="n"/>
      <c r="T157" s="24" t="n"/>
      <c r="U157" s="36" t="n">
        <v>46285</v>
      </c>
      <c r="V157" s="24" t="n"/>
      <c r="W157" s="15">
        <f>IF(P157="Production",IF(X157="Yes","Released","Review release"),IF(P157="Rolled back","Rolled back",IF(OR(Q157&lt;&gt;"",COUNTIFS(J157:N157,"Blocked")&gt;0),"Blocked",IF(OR(M157="Failed",N157="Rejected",AND(ISNUMBER(O157),O157&gt;0)),"Rework",IF(X157="Yes","Ready for release",IF(N157="Accepted","Verify completion",IF(OR(M157="Passed",M157="In progress",N157="In review"),"Testing / review",IF(OR(COUNTIFS(J157:L157,"In progress")&gt;0,COUNTIFS(J157:L157,"In review")&gt;0,COUNTIFS(J157:L157,"Done")&gt;0),"In progress",IF(COUNTIFS(J157:N157,"Not assessed")=5,"Not assessed","Planned")))))))))</f>
        <v/>
      </c>
      <c r="X157" s="15">
        <f>IF(AND(J157="Done",OR(K157="Done",K157="Not required"),OR(L157="Done",L157="Not required"),M157="Passed",N157="Accepted",ISNUMBER(O157),O157=0,Q157="",F157&lt;&gt;"",S157&lt;&gt;"",T157&lt;&gt;"",ISNUMBER(U157),OR(AND(K157&lt;&gt;"Not required",L157&lt;&gt;"Not required"),V157&lt;&gt;""),P157&lt;&gt;"Rolled back"),"Yes","No")</f>
        <v/>
      </c>
      <c r="Y157" s="15">
        <f>IF(X157="Yes","Completed",IF(H157="","No deadline",IF(NOT(ISNUMBER(H157)),"Check date",IF(H157&lt;Overview!$I$3,"Overdue",IF(H157&lt;=Overview!$I$3+7,"Due soon","On track")))))</f>
        <v/>
      </c>
      <c r="Z157" s="37">
        <f>IF(AND(X157&lt;&gt;"Yes",ISNUMBER(H157)),MAX(0,Overview!$I$3-H157),0)</f>
        <v/>
      </c>
      <c r="AA157" s="5" t="inlineStr">
        <is>
          <t>Student</t>
        </is>
      </c>
      <c r="AB157" t="inlineStr">
        <is>
          <t>/student/exams/[examId]</t>
        </is>
      </c>
    </row>
    <row r="158" ht="35" customHeight="1">
      <c r="A158" s="2" t="inlineStr">
        <is>
          <t>SCR-152</t>
        </is>
      </c>
      <c r="B158" s="5" t="inlineStr">
        <is>
          <t>Report Card</t>
        </is>
      </c>
      <c r="C158" s="5" t="inlineStr">
        <is>
          <t>Examinations / Marks / Results</t>
        </is>
      </c>
      <c r="D158" s="2" t="inlineStr">
        <is>
          <t>Phase 3</t>
        </is>
      </c>
      <c r="E158" s="2" t="inlineStr">
        <is>
          <t>US-0303, US-0304</t>
        </is>
      </c>
      <c r="F158" s="24" t="n"/>
      <c r="G158" s="24" t="n"/>
      <c r="H158" s="32" t="n"/>
      <c r="I158" s="2" t="inlineStr">
        <is>
          <t>Ready</t>
        </is>
      </c>
      <c r="J158" s="33" t="inlineStr">
        <is>
          <t>Done</t>
        </is>
      </c>
      <c r="K158" s="33" t="inlineStr">
        <is>
          <t>Done</t>
        </is>
      </c>
      <c r="L158" s="24" t="inlineStr">
        <is>
          <t>Not assessed</t>
        </is>
      </c>
      <c r="M158" s="24" t="inlineStr">
        <is>
          <t>Not assessed</t>
        </is>
      </c>
      <c r="N158" s="24" t="inlineStr">
        <is>
          <t>Not assessed</t>
        </is>
      </c>
      <c r="O158" s="35" t="n"/>
      <c r="P158" s="24" t="inlineStr">
        <is>
          <t>Not scheduled</t>
        </is>
      </c>
      <c r="Q158" s="24" t="n"/>
      <c r="R158" s="24" t="inlineStr">
        <is>
          <t>Same renderer as the school and the parents</t>
        </is>
      </c>
      <c r="S158" s="24" t="n"/>
      <c r="T158" s="24" t="n"/>
      <c r="U158" s="36" t="n">
        <v>46285</v>
      </c>
      <c r="V158" s="24" t="n"/>
      <c r="W158" s="15">
        <f>IF(P158="Production",IF(X158="Yes","Released","Review release"),IF(P158="Rolled back","Rolled back",IF(OR(Q158&lt;&gt;"",COUNTIFS(J158:N158,"Blocked")&gt;0),"Blocked",IF(OR(M158="Failed",N158="Rejected",AND(ISNUMBER(O158),O158&gt;0)),"Rework",IF(X158="Yes","Ready for release",IF(N158="Accepted","Verify completion",IF(OR(M158="Passed",M158="In progress",N158="In review"),"Testing / review",IF(OR(COUNTIFS(J158:L158,"In progress")&gt;0,COUNTIFS(J158:L158,"In review")&gt;0,COUNTIFS(J158:L158,"Done")&gt;0),"In progress",IF(COUNTIFS(J158:N158,"Not assessed")=5,"Not assessed","Planned")))))))))</f>
        <v/>
      </c>
      <c r="X158" s="15">
        <f>IF(AND(J158="Done",OR(K158="Done",K158="Not required"),OR(L158="Done",L158="Not required"),M158="Passed",N158="Accepted",ISNUMBER(O158),O158=0,Q158="",F158&lt;&gt;"",S158&lt;&gt;"",T158&lt;&gt;"",ISNUMBER(U158),OR(AND(K158&lt;&gt;"Not required",L158&lt;&gt;"Not required"),V158&lt;&gt;""),P158&lt;&gt;"Rolled back"),"Yes","No")</f>
        <v/>
      </c>
      <c r="Y158" s="15">
        <f>IF(X158="Yes","Completed",IF(H158="","No deadline",IF(NOT(ISNUMBER(H158)),"Check date",IF(H158&lt;Overview!$I$3,"Overdue",IF(H158&lt;=Overview!$I$3+7,"Due soon","On track")))))</f>
        <v/>
      </c>
      <c r="Z158" s="37">
        <f>IF(AND(X158&lt;&gt;"Yes",ISNUMBER(H158)),MAX(0,Overview!$I$3-H158),0)</f>
        <v/>
      </c>
      <c r="AA158" s="5" t="inlineStr">
        <is>
          <t>Student</t>
        </is>
      </c>
      <c r="AB158" t="inlineStr">
        <is>
          <t>/student/exams/[examId]</t>
        </is>
      </c>
    </row>
    <row r="159" ht="35" customHeight="1">
      <c r="A159" s="2" t="inlineStr">
        <is>
          <t>SCR-153</t>
        </is>
      </c>
      <c r="B159" s="5" t="inlineStr">
        <is>
          <t>Promotion Decision</t>
        </is>
      </c>
      <c r="C159" s="5" t="inlineStr">
        <is>
          <t>Examinations / Marks / Results</t>
        </is>
      </c>
      <c r="D159" s="2" t="inlineStr">
        <is>
          <t>Phase 3</t>
        </is>
      </c>
      <c r="E159" s="2" t="inlineStr">
        <is>
          <t>US-0305, US-0306</t>
        </is>
      </c>
      <c r="F159" s="24" t="n"/>
      <c r="G159" s="24" t="n"/>
      <c r="H159" s="32" t="n"/>
      <c r="I159" s="2" t="inlineStr">
        <is>
          <t>Ready</t>
        </is>
      </c>
      <c r="J159" s="33" t="inlineStr">
        <is>
          <t>Done</t>
        </is>
      </c>
      <c r="K159" s="33" t="inlineStr">
        <is>
          <t>Done</t>
        </is>
      </c>
      <c r="L159" s="24" t="inlineStr">
        <is>
          <t>Not assessed</t>
        </is>
      </c>
      <c r="M159" s="24" t="inlineStr">
        <is>
          <t>Not assessed</t>
        </is>
      </c>
      <c r="N159" s="24" t="inlineStr">
        <is>
          <t>Not assessed</t>
        </is>
      </c>
      <c r="O159" s="35" t="n"/>
      <c r="P159" s="24" t="inlineStr">
        <is>
          <t>Not scheduled</t>
        </is>
      </c>
      <c r="Q159" s="24" t="n"/>
      <c r="R159" s="24" t="inlineStr">
        <is>
          <t>Result-driven suggestion, review kept apart from fail</t>
        </is>
      </c>
      <c r="S159" s="24" t="n"/>
      <c r="T159" s="24" t="n"/>
      <c r="U159" s="36" t="n">
        <v>46285</v>
      </c>
      <c r="V159" s="24" t="n"/>
      <c r="W159" s="15">
        <f>IF(P159="Production",IF(X159="Yes","Released","Review release"),IF(P159="Rolled back","Rolled back",IF(OR(Q159&lt;&gt;"",COUNTIFS(J159:N159,"Blocked")&gt;0),"Blocked",IF(OR(M159="Failed",N159="Rejected",AND(ISNUMBER(O159),O159&gt;0)),"Rework",IF(X159="Yes","Ready for release",IF(N159="Accepted","Verify completion",IF(OR(M159="Passed",M159="In progress",N159="In review"),"Testing / review",IF(OR(COUNTIFS(J159:L159,"In progress")&gt;0,COUNTIFS(J159:L159,"In review")&gt;0,COUNTIFS(J159:L159,"Done")&gt;0),"In progress",IF(COUNTIFS(J159:N159,"Not assessed")=5,"Not assessed","Planned")))))))))</f>
        <v/>
      </c>
      <c r="X159" s="15">
        <f>IF(AND(J159="Done",OR(K159="Done",K159="Not required"),OR(L159="Done",L159="Not required"),M159="Passed",N159="Accepted",ISNUMBER(O159),O159=0,Q159="",F159&lt;&gt;"",S159&lt;&gt;"",T159&lt;&gt;"",ISNUMBER(U159),OR(AND(K159&lt;&gt;"Not required",L159&lt;&gt;"Not required"),V159&lt;&gt;""),P159&lt;&gt;"Rolled back"),"Yes","No")</f>
        <v/>
      </c>
      <c r="Y159" s="15">
        <f>IF(X159="Yes","Completed",IF(H159="","No deadline",IF(NOT(ISNUMBER(H159)),"Check date",IF(H159&lt;Overview!$I$3,"Overdue",IF(H159&lt;=Overview!$I$3+7,"Due soon","On track")))))</f>
        <v/>
      </c>
      <c r="Z159" s="37">
        <f>IF(AND(X159&lt;&gt;"Yes",ISNUMBER(H159)),MAX(0,Overview!$I$3-H159),0)</f>
        <v/>
      </c>
      <c r="AA159" s="5" t="inlineStr">
        <is>
          <t>Principal</t>
        </is>
      </c>
      <c r="AB159" t="inlineStr">
        <is>
          <t>/school/exams/[id]/promotion</t>
        </is>
      </c>
    </row>
    <row r="160" ht="35" customHeight="1">
      <c r="A160" s="2" t="inlineStr">
        <is>
          <t>SCR-154</t>
        </is>
      </c>
      <c r="B160" s="5" t="inlineStr">
        <is>
          <t>Fee Dashboard</t>
        </is>
      </c>
      <c r="C160" s="5" t="inlineStr">
        <is>
          <t>Fees &amp; Finance</t>
        </is>
      </c>
      <c r="D160" s="2" t="inlineStr">
        <is>
          <t>MVP</t>
        </is>
      </c>
      <c r="E160" s="2" t="inlineStr">
        <is>
          <t>US-0307, US-0308</t>
        </is>
      </c>
      <c r="F160" s="24" t="n"/>
      <c r="G160" s="24" t="n"/>
      <c r="H160" s="32" t="n"/>
      <c r="I160" s="2" t="inlineStr">
        <is>
          <t>Ready</t>
        </is>
      </c>
      <c r="J160" s="38" t="inlineStr">
        <is>
          <t>In progress</t>
        </is>
      </c>
      <c r="K160" s="33" t="inlineStr">
        <is>
          <t>Done</t>
        </is>
      </c>
      <c r="L160" s="24" t="inlineStr">
        <is>
          <t>Not assessed</t>
        </is>
      </c>
      <c r="M160" s="24" t="inlineStr">
        <is>
          <t>Not assessed</t>
        </is>
      </c>
      <c r="N160" s="24" t="inlineStr">
        <is>
          <t>Not assessed</t>
        </is>
      </c>
      <c r="O160" s="35" t="n"/>
      <c r="P160" s="24" t="inlineStr">
        <is>
          <t>Not scheduled</t>
        </is>
      </c>
      <c r="Q160" s="24" t="n"/>
      <c r="R160" s="24" t="inlineStr">
        <is>
          <t>Accountant dashboard is a placeholder</t>
        </is>
      </c>
      <c r="S160" s="24" t="n"/>
      <c r="T160" s="24" t="n"/>
      <c r="U160" s="36" t="n">
        <v>46285</v>
      </c>
      <c r="V160" s="24" t="n"/>
      <c r="W160" s="15">
        <f>IF(P160="Production",IF(X160="Yes","Released","Review release"),IF(P160="Rolled back","Rolled back",IF(OR(Q160&lt;&gt;"",COUNTIFS(J160:N160,"Blocked")&gt;0),"Blocked",IF(OR(M160="Failed",N160="Rejected",AND(ISNUMBER(O160),O160&gt;0)),"Rework",IF(X160="Yes","Ready for release",IF(N160="Accepted","Verify completion",IF(OR(M160="Passed",M160="In progress",N160="In review"),"Testing / review",IF(OR(COUNTIFS(J160:L160,"In progress")&gt;0,COUNTIFS(J160:L160,"In review")&gt;0,COUNTIFS(J160:L160,"Done")&gt;0),"In progress",IF(COUNTIFS(J160:N160,"Not assessed")=5,"Not assessed","Planned")))))))))</f>
        <v/>
      </c>
      <c r="X160" s="15">
        <f>IF(AND(J160="Done",OR(K160="Done",K160="Not required"),OR(L160="Done",L160="Not required"),M160="Passed",N160="Accepted",ISNUMBER(O160),O160=0,Q160="",F160&lt;&gt;"",S160&lt;&gt;"",T160&lt;&gt;"",ISNUMBER(U160),OR(AND(K160&lt;&gt;"Not required",L160&lt;&gt;"Not required"),V160&lt;&gt;""),P160&lt;&gt;"Rolled back"),"Yes","No")</f>
        <v/>
      </c>
      <c r="Y160" s="15">
        <f>IF(X160="Yes","Completed",IF(H160="","No deadline",IF(NOT(ISNUMBER(H160)),"Check date",IF(H160&lt;Overview!$I$3,"Overdue",IF(H160&lt;=Overview!$I$3+7,"Due soon","On track")))))</f>
        <v/>
      </c>
      <c r="Z160" s="37">
        <f>IF(AND(X160&lt;&gt;"Yes",ISNUMBER(H160)),MAX(0,Overview!$I$3-H160),0)</f>
        <v/>
      </c>
      <c r="AA160" s="5" t="inlineStr">
        <is>
          <t>Accountant</t>
        </is>
      </c>
      <c r="AB160" t="inlineStr">
        <is>
          <t>/accountant</t>
        </is>
      </c>
    </row>
    <row r="161" ht="35" customHeight="1">
      <c r="A161" s="2" t="inlineStr">
        <is>
          <t>SCR-155</t>
        </is>
      </c>
      <c r="B161" s="5" t="inlineStr">
        <is>
          <t>Fee Structure</t>
        </is>
      </c>
      <c r="C161" s="5" t="inlineStr">
        <is>
          <t>Fees &amp; Finance</t>
        </is>
      </c>
      <c r="D161" s="2" t="inlineStr">
        <is>
          <t>MVP</t>
        </is>
      </c>
      <c r="E161" s="2" t="inlineStr">
        <is>
          <t>US-0309, US-0310</t>
        </is>
      </c>
      <c r="F161" s="24" t="n"/>
      <c r="G161" s="24" t="n"/>
      <c r="H161" s="32" t="n"/>
      <c r="I161" s="2" t="inlineStr">
        <is>
          <t>Ready</t>
        </is>
      </c>
      <c r="J161" s="33" t="inlineStr">
        <is>
          <t>Done</t>
        </is>
      </c>
      <c r="K161" s="33" t="inlineStr">
        <is>
          <t>Done</t>
        </is>
      </c>
      <c r="L161" s="24" t="inlineStr">
        <is>
          <t>Not assessed</t>
        </is>
      </c>
      <c r="M161" s="24" t="inlineStr">
        <is>
          <t>Not assessed</t>
        </is>
      </c>
      <c r="N161" s="24" t="inlineStr">
        <is>
          <t>Not assessed</t>
        </is>
      </c>
      <c r="O161" s="35" t="n"/>
      <c r="P161" s="24" t="inlineStr">
        <is>
          <t>Not scheduled</t>
        </is>
      </c>
      <c r="Q161" s="24" t="n"/>
      <c r="R161" s="24" t="inlineStr">
        <is>
          <t>Per class, head and year</t>
        </is>
      </c>
      <c r="S161" s="24" t="n"/>
      <c r="T161" s="24" t="n"/>
      <c r="U161" s="36" t="n">
        <v>46285</v>
      </c>
      <c r="V161" s="24" t="n"/>
      <c r="W161" s="15">
        <f>IF(P161="Production",IF(X161="Yes","Released","Review release"),IF(P161="Rolled back","Rolled back",IF(OR(Q161&lt;&gt;"",COUNTIFS(J161:N161,"Blocked")&gt;0),"Blocked",IF(OR(M161="Failed",N161="Rejected",AND(ISNUMBER(O161),O161&gt;0)),"Rework",IF(X161="Yes","Ready for release",IF(N161="Accepted","Verify completion",IF(OR(M161="Passed",M161="In progress",N161="In review"),"Testing / review",IF(OR(COUNTIFS(J161:L161,"In progress")&gt;0,COUNTIFS(J161:L161,"In review")&gt;0,COUNTIFS(J161:L161,"Done")&gt;0),"In progress",IF(COUNTIFS(J161:N161,"Not assessed")=5,"Not assessed","Planned")))))))))</f>
        <v/>
      </c>
      <c r="X161" s="15">
        <f>IF(AND(J161="Done",OR(K161="Done",K161="Not required"),OR(L161="Done",L161="Not required"),M161="Passed",N161="Accepted",ISNUMBER(O161),O161=0,Q161="",F161&lt;&gt;"",S161&lt;&gt;"",T161&lt;&gt;"",ISNUMBER(U161),OR(AND(K161&lt;&gt;"Not required",L161&lt;&gt;"Not required"),V161&lt;&gt;""),P161&lt;&gt;"Rolled back"),"Yes","No")</f>
        <v/>
      </c>
      <c r="Y161" s="15">
        <f>IF(X161="Yes","Completed",IF(H161="","No deadline",IF(NOT(ISNUMBER(H161)),"Check date",IF(H161&lt;Overview!$I$3,"Overdue",IF(H161&lt;=Overview!$I$3+7,"Due soon","On track")))))</f>
        <v/>
      </c>
      <c r="Z161" s="37">
        <f>IF(AND(X161&lt;&gt;"Yes",ISNUMBER(H161)),MAX(0,Overview!$I$3-H161),0)</f>
        <v/>
      </c>
      <c r="AA161" s="5" t="inlineStr">
        <is>
          <t>Accountant</t>
        </is>
      </c>
      <c r="AB161" t="inlineStr">
        <is>
          <t>/school/fees/structures</t>
        </is>
      </c>
    </row>
    <row r="162" ht="35" customHeight="1">
      <c r="A162" s="2" t="inlineStr">
        <is>
          <t>SCR-156</t>
        </is>
      </c>
      <c r="B162" s="5" t="inlineStr">
        <is>
          <t>Create / Edit Fee Structure</t>
        </is>
      </c>
      <c r="C162" s="5" t="inlineStr">
        <is>
          <t>Fees &amp; Finance</t>
        </is>
      </c>
      <c r="D162" s="2" t="inlineStr">
        <is>
          <t>MVP</t>
        </is>
      </c>
      <c r="E162" s="2" t="inlineStr">
        <is>
          <t>US-0311, US-0312</t>
        </is>
      </c>
      <c r="F162" s="24" t="n"/>
      <c r="G162" s="24" t="n"/>
      <c r="H162" s="32" t="n"/>
      <c r="I162" s="2" t="inlineStr">
        <is>
          <t>Ready</t>
        </is>
      </c>
      <c r="J162" s="33" t="inlineStr">
        <is>
          <t>Done</t>
        </is>
      </c>
      <c r="K162" s="33" t="inlineStr">
        <is>
          <t>Done</t>
        </is>
      </c>
      <c r="L162" s="24" t="inlineStr">
        <is>
          <t>Not assessed</t>
        </is>
      </c>
      <c r="M162" s="24" t="inlineStr">
        <is>
          <t>Not assessed</t>
        </is>
      </c>
      <c r="N162" s="24" t="inlineStr">
        <is>
          <t>Not assessed</t>
        </is>
      </c>
      <c r="O162" s="35" t="n"/>
      <c r="P162" s="24" t="inlineStr">
        <is>
          <t>Not scheduled</t>
        </is>
      </c>
      <c r="Q162" s="24" t="n"/>
      <c r="R162" s="24" t="inlineStr">
        <is>
          <t>Amount, due day, recurring flag</t>
        </is>
      </c>
      <c r="S162" s="24" t="n"/>
      <c r="T162" s="24" t="n"/>
      <c r="U162" s="36" t="n">
        <v>46285</v>
      </c>
      <c r="V162" s="24" t="n"/>
      <c r="W162" s="15">
        <f>IF(P162="Production",IF(X162="Yes","Released","Review release"),IF(P162="Rolled back","Rolled back",IF(OR(Q162&lt;&gt;"",COUNTIFS(J162:N162,"Blocked")&gt;0),"Blocked",IF(OR(M162="Failed",N162="Rejected",AND(ISNUMBER(O162),O162&gt;0)),"Rework",IF(X162="Yes","Ready for release",IF(N162="Accepted","Verify completion",IF(OR(M162="Passed",M162="In progress",N162="In review"),"Testing / review",IF(OR(COUNTIFS(J162:L162,"In progress")&gt;0,COUNTIFS(J162:L162,"In review")&gt;0,COUNTIFS(J162:L162,"Done")&gt;0),"In progress",IF(COUNTIFS(J162:N162,"Not assessed")=5,"Not assessed","Planned")))))))))</f>
        <v/>
      </c>
      <c r="X162" s="15">
        <f>IF(AND(J162="Done",OR(K162="Done",K162="Not required"),OR(L162="Done",L162="Not required"),M162="Passed",N162="Accepted",ISNUMBER(O162),O162=0,Q162="",F162&lt;&gt;"",S162&lt;&gt;"",T162&lt;&gt;"",ISNUMBER(U162),OR(AND(K162&lt;&gt;"Not required",L162&lt;&gt;"Not required"),V162&lt;&gt;""),P162&lt;&gt;"Rolled back"),"Yes","No")</f>
        <v/>
      </c>
      <c r="Y162" s="15">
        <f>IF(X162="Yes","Completed",IF(H162="","No deadline",IF(NOT(ISNUMBER(H162)),"Check date",IF(H162&lt;Overview!$I$3,"Overdue",IF(H162&lt;=Overview!$I$3+7,"Due soon","On track")))))</f>
        <v/>
      </c>
      <c r="Z162" s="37">
        <f>IF(AND(X162&lt;&gt;"Yes",ISNUMBER(H162)),MAX(0,Overview!$I$3-H162),0)</f>
        <v/>
      </c>
      <c r="AA162" s="5" t="inlineStr">
        <is>
          <t>Accountant</t>
        </is>
      </c>
      <c r="AB162" t="inlineStr">
        <is>
          <t>/school/fees/structures</t>
        </is>
      </c>
    </row>
    <row r="163" ht="35" customHeight="1">
      <c r="A163" s="2" t="inlineStr">
        <is>
          <t>SCR-157</t>
        </is>
      </c>
      <c r="B163" s="5" t="inlineStr">
        <is>
          <t>Student Fee Assignment</t>
        </is>
      </c>
      <c r="C163" s="5" t="inlineStr">
        <is>
          <t>Fees &amp; Finance</t>
        </is>
      </c>
      <c r="D163" s="2" t="inlineStr">
        <is>
          <t>MVP</t>
        </is>
      </c>
      <c r="E163" s="2" t="inlineStr">
        <is>
          <t>US-0313, US-0314</t>
        </is>
      </c>
      <c r="F163" s="24" t="n"/>
      <c r="G163" s="24" t="n"/>
      <c r="H163" s="32" t="n"/>
      <c r="I163" s="2" t="inlineStr">
        <is>
          <t>Ready</t>
        </is>
      </c>
      <c r="J163" s="39" t="inlineStr">
        <is>
          <t>Not started</t>
        </is>
      </c>
      <c r="K163" s="39" t="inlineStr">
        <is>
          <t>Not started</t>
        </is>
      </c>
      <c r="L163" s="24" t="inlineStr">
        <is>
          <t>Not assessed</t>
        </is>
      </c>
      <c r="M163" s="24" t="inlineStr">
        <is>
          <t>Not assessed</t>
        </is>
      </c>
      <c r="N163" s="24" t="inlineStr">
        <is>
          <t>Not assessed</t>
        </is>
      </c>
      <c r="O163" s="35" t="n"/>
      <c r="P163" s="24" t="inlineStr">
        <is>
          <t>Not scheduled</t>
        </is>
      </c>
      <c r="Q163" s="24" t="n"/>
      <c r="R163" s="24" t="inlineStr">
        <is>
          <t>No per-student fee plan; class structures only</t>
        </is>
      </c>
      <c r="S163" s="24" t="n"/>
      <c r="T163" s="24" t="n"/>
      <c r="U163" s="36" t="n">
        <v>46285</v>
      </c>
      <c r="V163" s="24" t="n"/>
      <c r="W163" s="15">
        <f>IF(P163="Production",IF(X163="Yes","Released","Review release"),IF(P163="Rolled back","Rolled back",IF(OR(Q163&lt;&gt;"",COUNTIFS(J163:N163,"Blocked")&gt;0),"Blocked",IF(OR(M163="Failed",N163="Rejected",AND(ISNUMBER(O163),O163&gt;0)),"Rework",IF(X163="Yes","Ready for release",IF(N163="Accepted","Verify completion",IF(OR(M163="Passed",M163="In progress",N163="In review"),"Testing / review",IF(OR(COUNTIFS(J163:L163,"In progress")&gt;0,COUNTIFS(J163:L163,"In review")&gt;0,COUNTIFS(J163:L163,"Done")&gt;0),"In progress",IF(COUNTIFS(J163:N163,"Not assessed")=5,"Not assessed","Planned")))))))))</f>
        <v/>
      </c>
      <c r="X163" s="15">
        <f>IF(AND(J163="Done",OR(K163="Done",K163="Not required"),OR(L163="Done",L163="Not required"),M163="Passed",N163="Accepted",ISNUMBER(O163),O163=0,Q163="",F163&lt;&gt;"",S163&lt;&gt;"",T163&lt;&gt;"",ISNUMBER(U163),OR(AND(K163&lt;&gt;"Not required",L163&lt;&gt;"Not required"),V163&lt;&gt;""),P163&lt;&gt;"Rolled back"),"Yes","No")</f>
        <v/>
      </c>
      <c r="Y163" s="15">
        <f>IF(X163="Yes","Completed",IF(H163="","No deadline",IF(NOT(ISNUMBER(H163)),"Check date",IF(H163&lt;Overview!$I$3,"Overdue",IF(H163&lt;=Overview!$I$3+7,"Due soon","On track")))))</f>
        <v/>
      </c>
      <c r="Z163" s="37">
        <f>IF(AND(X163&lt;&gt;"Yes",ISNUMBER(H163)),MAX(0,Overview!$I$3-H163),0)</f>
        <v/>
      </c>
      <c r="AA163" s="5" t="inlineStr">
        <is>
          <t>Accountant</t>
        </is>
      </c>
      <c r="AB163" t="inlineStr">
        <is>
          <t>-</t>
        </is>
      </c>
    </row>
    <row r="164" ht="35" customHeight="1">
      <c r="A164" s="2" t="inlineStr">
        <is>
          <t>SCR-158</t>
        </is>
      </c>
      <c r="B164" s="5" t="inlineStr">
        <is>
          <t>Fee Collection</t>
        </is>
      </c>
      <c r="C164" s="5" t="inlineStr">
        <is>
          <t>Fees &amp; Finance</t>
        </is>
      </c>
      <c r="D164" s="2" t="inlineStr">
        <is>
          <t>MVP</t>
        </is>
      </c>
      <c r="E164" s="2" t="inlineStr">
        <is>
          <t>US-0315, US-0316</t>
        </is>
      </c>
      <c r="F164" s="24" t="n"/>
      <c r="G164" s="24" t="n"/>
      <c r="H164" s="32" t="n"/>
      <c r="I164" s="2" t="inlineStr">
        <is>
          <t>Ready</t>
        </is>
      </c>
      <c r="J164" s="33" t="inlineStr">
        <is>
          <t>Done</t>
        </is>
      </c>
      <c r="K164" s="33" t="inlineStr">
        <is>
          <t>Done</t>
        </is>
      </c>
      <c r="L164" s="24" t="inlineStr">
        <is>
          <t>Not assessed</t>
        </is>
      </c>
      <c r="M164" s="24" t="inlineStr">
        <is>
          <t>Not assessed</t>
        </is>
      </c>
      <c r="N164" s="24" t="inlineStr">
        <is>
          <t>Not assessed</t>
        </is>
      </c>
      <c r="O164" s="35" t="n"/>
      <c r="P164" s="24" t="inlineStr">
        <is>
          <t>Not scheduled</t>
        </is>
      </c>
      <c r="Q164" s="24" t="n"/>
      <c r="R164" s="24" t="inlineStr">
        <is>
          <t>Record payment with mode and reference</t>
        </is>
      </c>
      <c r="S164" s="24" t="n"/>
      <c r="T164" s="24" t="n"/>
      <c r="U164" s="36" t="n">
        <v>46285</v>
      </c>
      <c r="V164" s="24" t="n"/>
      <c r="W164" s="15">
        <f>IF(P164="Production",IF(X164="Yes","Released","Review release"),IF(P164="Rolled back","Rolled back",IF(OR(Q164&lt;&gt;"",COUNTIFS(J164:N164,"Blocked")&gt;0),"Blocked",IF(OR(M164="Failed",N164="Rejected",AND(ISNUMBER(O164),O164&gt;0)),"Rework",IF(X164="Yes","Ready for release",IF(N164="Accepted","Verify completion",IF(OR(M164="Passed",M164="In progress",N164="In review"),"Testing / review",IF(OR(COUNTIFS(J164:L164,"In progress")&gt;0,COUNTIFS(J164:L164,"In review")&gt;0,COUNTIFS(J164:L164,"Done")&gt;0),"In progress",IF(COUNTIFS(J164:N164,"Not assessed")=5,"Not assessed","Planned")))))))))</f>
        <v/>
      </c>
      <c r="X164" s="15">
        <f>IF(AND(J164="Done",OR(K164="Done",K164="Not required"),OR(L164="Done",L164="Not required"),M164="Passed",N164="Accepted",ISNUMBER(O164),O164=0,Q164="",F164&lt;&gt;"",S164&lt;&gt;"",T164&lt;&gt;"",ISNUMBER(U164),OR(AND(K164&lt;&gt;"Not required",L164&lt;&gt;"Not required"),V164&lt;&gt;""),P164&lt;&gt;"Rolled back"),"Yes","No")</f>
        <v/>
      </c>
      <c r="Y164" s="15">
        <f>IF(X164="Yes","Completed",IF(H164="","No deadline",IF(NOT(ISNUMBER(H164)),"Check date",IF(H164&lt;Overview!$I$3,"Overdue",IF(H164&lt;=Overview!$I$3+7,"Due soon","On track")))))</f>
        <v/>
      </c>
      <c r="Z164" s="37">
        <f>IF(AND(X164&lt;&gt;"Yes",ISNUMBER(H164)),MAX(0,Overview!$I$3-H164),0)</f>
        <v/>
      </c>
      <c r="AA164" s="5" t="inlineStr">
        <is>
          <t>Accountant</t>
        </is>
      </c>
      <c r="AB164" t="inlineStr">
        <is>
          <t>/school/fees</t>
        </is>
      </c>
    </row>
    <row r="165" ht="35" customHeight="1">
      <c r="A165" s="2" t="inlineStr">
        <is>
          <t>SCR-159</t>
        </is>
      </c>
      <c r="B165" s="5" t="inlineStr">
        <is>
          <t>Online Payment</t>
        </is>
      </c>
      <c r="C165" s="5" t="inlineStr">
        <is>
          <t>Fees &amp; Finance</t>
        </is>
      </c>
      <c r="D165" s="2" t="inlineStr">
        <is>
          <t>MVP</t>
        </is>
      </c>
      <c r="E165" s="2" t="inlineStr">
        <is>
          <t>US-0317, US-0318</t>
        </is>
      </c>
      <c r="F165" s="24" t="n"/>
      <c r="G165" s="24" t="n"/>
      <c r="H165" s="32" t="n"/>
      <c r="I165" s="2" t="inlineStr">
        <is>
          <t>Ready</t>
        </is>
      </c>
      <c r="J165" s="33" t="inlineStr">
        <is>
          <t>Done</t>
        </is>
      </c>
      <c r="K165" s="33" t="inlineStr">
        <is>
          <t>Done</t>
        </is>
      </c>
      <c r="L165" s="24" t="inlineStr">
        <is>
          <t>Not assessed</t>
        </is>
      </c>
      <c r="M165" s="24" t="inlineStr">
        <is>
          <t>Not assessed</t>
        </is>
      </c>
      <c r="N165" s="24" t="inlineStr">
        <is>
          <t>Not assessed</t>
        </is>
      </c>
      <c r="O165" s="35" t="n"/>
      <c r="P165" s="24" t="inlineStr">
        <is>
          <t>Not scheduled</t>
        </is>
      </c>
      <c r="Q165" s="24" t="n"/>
      <c r="R165" s="24" t="inlineStr">
        <is>
          <t>Razorpay checkout, verify, failures</t>
        </is>
      </c>
      <c r="S165" s="24" t="n"/>
      <c r="T165" s="24" t="n"/>
      <c r="U165" s="36" t="n">
        <v>46285</v>
      </c>
      <c r="V165" s="24" t="n"/>
      <c r="W165" s="15">
        <f>IF(P165="Production",IF(X165="Yes","Released","Review release"),IF(P165="Rolled back","Rolled back",IF(OR(Q165&lt;&gt;"",COUNTIFS(J165:N165,"Blocked")&gt;0),"Blocked",IF(OR(M165="Failed",N165="Rejected",AND(ISNUMBER(O165),O165&gt;0)),"Rework",IF(X165="Yes","Ready for release",IF(N165="Accepted","Verify completion",IF(OR(M165="Passed",M165="In progress",N165="In review"),"Testing / review",IF(OR(COUNTIFS(J165:L165,"In progress")&gt;0,COUNTIFS(J165:L165,"In review")&gt;0,COUNTIFS(J165:L165,"Done")&gt;0),"In progress",IF(COUNTIFS(J165:N165,"Not assessed")=5,"Not assessed","Planned")))))))))</f>
        <v/>
      </c>
      <c r="X165" s="15">
        <f>IF(AND(J165="Done",OR(K165="Done",K165="Not required"),OR(L165="Done",L165="Not required"),M165="Passed",N165="Accepted",ISNUMBER(O165),O165=0,Q165="",F165&lt;&gt;"",S165&lt;&gt;"",T165&lt;&gt;"",ISNUMBER(U165),OR(AND(K165&lt;&gt;"Not required",L165&lt;&gt;"Not required"),V165&lt;&gt;""),P165&lt;&gt;"Rolled back"),"Yes","No")</f>
        <v/>
      </c>
      <c r="Y165" s="15">
        <f>IF(X165="Yes","Completed",IF(H165="","No deadline",IF(NOT(ISNUMBER(H165)),"Check date",IF(H165&lt;Overview!$I$3,"Overdue",IF(H165&lt;=Overview!$I$3+7,"Due soon","On track")))))</f>
        <v/>
      </c>
      <c r="Z165" s="37">
        <f>IF(AND(X165&lt;&gt;"Yes",ISNUMBER(H165)),MAX(0,Overview!$I$3-H165),0)</f>
        <v/>
      </c>
      <c r="AA165" s="5" t="inlineStr">
        <is>
          <t>Parent</t>
        </is>
      </c>
      <c r="AB165" t="inlineStr">
        <is>
          <t>/parent/children/[id]/fees</t>
        </is>
      </c>
    </row>
    <row r="166" ht="35" customHeight="1">
      <c r="A166" s="2" t="inlineStr">
        <is>
          <t>SCR-160</t>
        </is>
      </c>
      <c r="B166" s="5" t="inlineStr">
        <is>
          <t>Payment Receipt</t>
        </is>
      </c>
      <c r="C166" s="5" t="inlineStr">
        <is>
          <t>Fees &amp; Finance</t>
        </is>
      </c>
      <c r="D166" s="2" t="inlineStr">
        <is>
          <t>MVP</t>
        </is>
      </c>
      <c r="E166" s="2" t="inlineStr">
        <is>
          <t>US-0319, US-0320</t>
        </is>
      </c>
      <c r="F166" s="24" t="n"/>
      <c r="G166" s="24" t="n"/>
      <c r="H166" s="32" t="n"/>
      <c r="I166" s="2" t="inlineStr">
        <is>
          <t>Ready</t>
        </is>
      </c>
      <c r="J166" s="33" t="inlineStr">
        <is>
          <t>Done</t>
        </is>
      </c>
      <c r="K166" s="33" t="inlineStr">
        <is>
          <t>Done</t>
        </is>
      </c>
      <c r="L166" s="24" t="inlineStr">
        <is>
          <t>Not assessed</t>
        </is>
      </c>
      <c r="M166" s="24" t="inlineStr">
        <is>
          <t>Not assessed</t>
        </is>
      </c>
      <c r="N166" s="24" t="inlineStr">
        <is>
          <t>Not assessed</t>
        </is>
      </c>
      <c r="O166" s="35" t="n"/>
      <c r="P166" s="24" t="inlineStr">
        <is>
          <t>Not scheduled</t>
        </is>
      </c>
      <c r="Q166" s="24" t="n"/>
      <c r="R166" s="24" t="inlineStr">
        <is>
          <t>Per-order receipt PDF</t>
        </is>
      </c>
      <c r="S166" s="24" t="n"/>
      <c r="T166" s="24" t="n"/>
      <c r="U166" s="36" t="n">
        <v>46285</v>
      </c>
      <c r="V166" s="24" t="n"/>
      <c r="W166" s="15">
        <f>IF(P166="Production",IF(X166="Yes","Released","Review release"),IF(P166="Rolled back","Rolled back",IF(OR(Q166&lt;&gt;"",COUNTIFS(J166:N166,"Blocked")&gt;0),"Blocked",IF(OR(M166="Failed",N166="Rejected",AND(ISNUMBER(O166),O166&gt;0)),"Rework",IF(X166="Yes","Ready for release",IF(N166="Accepted","Verify completion",IF(OR(M166="Passed",M166="In progress",N166="In review"),"Testing / review",IF(OR(COUNTIFS(J166:L166,"In progress")&gt;0,COUNTIFS(J166:L166,"In review")&gt;0,COUNTIFS(J166:L166,"Done")&gt;0),"In progress",IF(COUNTIFS(J166:N166,"Not assessed")=5,"Not assessed","Planned")))))))))</f>
        <v/>
      </c>
      <c r="X166" s="15">
        <f>IF(AND(J166="Done",OR(K166="Done",K166="Not required"),OR(L166="Done",L166="Not required"),M166="Passed",N166="Accepted",ISNUMBER(O166),O166=0,Q166="",F166&lt;&gt;"",S166&lt;&gt;"",T166&lt;&gt;"",ISNUMBER(U166),OR(AND(K166&lt;&gt;"Not required",L166&lt;&gt;"Not required"),V166&lt;&gt;""),P166&lt;&gt;"Rolled back"),"Yes","No")</f>
        <v/>
      </c>
      <c r="Y166" s="15">
        <f>IF(X166="Yes","Completed",IF(H166="","No deadline",IF(NOT(ISNUMBER(H166)),"Check date",IF(H166&lt;Overview!$I$3,"Overdue",IF(H166&lt;=Overview!$I$3+7,"Due soon","On track")))))</f>
        <v/>
      </c>
      <c r="Z166" s="37">
        <f>IF(AND(X166&lt;&gt;"Yes",ISNUMBER(H166)),MAX(0,Overview!$I$3-H166),0)</f>
        <v/>
      </c>
      <c r="AA166" s="5" t="inlineStr">
        <is>
          <t>Parent</t>
        </is>
      </c>
      <c r="AB166" t="inlineStr">
        <is>
          <t>/parent/children/[id]/fees</t>
        </is>
      </c>
    </row>
    <row r="167" ht="35" customHeight="1">
      <c r="A167" s="2" t="inlineStr">
        <is>
          <t>SCR-161</t>
        </is>
      </c>
      <c r="B167" s="5" t="inlineStr">
        <is>
          <t>Student Ledger</t>
        </is>
      </c>
      <c r="C167" s="5" t="inlineStr">
        <is>
          <t>Fees &amp; Finance</t>
        </is>
      </c>
      <c r="D167" s="2" t="inlineStr">
        <is>
          <t>MVP</t>
        </is>
      </c>
      <c r="E167" s="2" t="inlineStr">
        <is>
          <t>US-0321, US-0322</t>
        </is>
      </c>
      <c r="F167" s="24" t="n"/>
      <c r="G167" s="24" t="n"/>
      <c r="H167" s="32" t="n"/>
      <c r="I167" s="2" t="inlineStr">
        <is>
          <t>Ready</t>
        </is>
      </c>
      <c r="J167" s="38" t="inlineStr">
        <is>
          <t>In progress</t>
        </is>
      </c>
      <c r="K167" s="38" t="inlineStr">
        <is>
          <t>In progress</t>
        </is>
      </c>
      <c r="L167" s="24" t="inlineStr">
        <is>
          <t>Not assessed</t>
        </is>
      </c>
      <c r="M167" s="24" t="inlineStr">
        <is>
          <t>Not assessed</t>
        </is>
      </c>
      <c r="N167" s="24" t="inlineStr">
        <is>
          <t>Not assessed</t>
        </is>
      </c>
      <c r="O167" s="35" t="n"/>
      <c r="P167" s="24" t="inlineStr">
        <is>
          <t>Not scheduled</t>
        </is>
      </c>
      <c r="Q167" s="24" t="n"/>
      <c r="R167" s="24" t="inlineStr">
        <is>
          <t>No staff-side per-student ledger</t>
        </is>
      </c>
      <c r="S167" s="24" t="n"/>
      <c r="T167" s="24" t="n"/>
      <c r="U167" s="36" t="n">
        <v>46285</v>
      </c>
      <c r="V167" s="24" t="n"/>
      <c r="W167" s="15">
        <f>IF(P167="Production",IF(X167="Yes","Released","Review release"),IF(P167="Rolled back","Rolled back",IF(OR(Q167&lt;&gt;"",COUNTIFS(J167:N167,"Blocked")&gt;0),"Blocked",IF(OR(M167="Failed",N167="Rejected",AND(ISNUMBER(O167),O167&gt;0)),"Rework",IF(X167="Yes","Ready for release",IF(N167="Accepted","Verify completion",IF(OR(M167="Passed",M167="In progress",N167="In review"),"Testing / review",IF(OR(COUNTIFS(J167:L167,"In progress")&gt;0,COUNTIFS(J167:L167,"In review")&gt;0,COUNTIFS(J167:L167,"Done")&gt;0),"In progress",IF(COUNTIFS(J167:N167,"Not assessed")=5,"Not assessed","Planned")))))))))</f>
        <v/>
      </c>
      <c r="X167" s="15">
        <f>IF(AND(J167="Done",OR(K167="Done",K167="Not required"),OR(L167="Done",L167="Not required"),M167="Passed",N167="Accepted",ISNUMBER(O167),O167=0,Q167="",F167&lt;&gt;"",S167&lt;&gt;"",T167&lt;&gt;"",ISNUMBER(U167),OR(AND(K167&lt;&gt;"Not required",L167&lt;&gt;"Not required"),V167&lt;&gt;""),P167&lt;&gt;"Rolled back"),"Yes","No")</f>
        <v/>
      </c>
      <c r="Y167" s="15">
        <f>IF(X167="Yes","Completed",IF(H167="","No deadline",IF(NOT(ISNUMBER(H167)),"Check date",IF(H167&lt;Overview!$I$3,"Overdue",IF(H167&lt;=Overview!$I$3+7,"Due soon","On track")))))</f>
        <v/>
      </c>
      <c r="Z167" s="37">
        <f>IF(AND(X167&lt;&gt;"Yes",ISNUMBER(H167)),MAX(0,Overview!$I$3-H167),0)</f>
        <v/>
      </c>
      <c r="AA167" s="5" t="inlineStr">
        <is>
          <t>Accountant</t>
        </is>
      </c>
      <c r="AB167" t="inlineStr">
        <is>
          <t>/parent/children/[id]/fees</t>
        </is>
      </c>
    </row>
    <row r="168" ht="35" customHeight="1">
      <c r="A168" s="2" t="inlineStr">
        <is>
          <t>SCR-162</t>
        </is>
      </c>
      <c r="B168" s="5" t="inlineStr">
        <is>
          <t>Outstanding Dues</t>
        </is>
      </c>
      <c r="C168" s="5" t="inlineStr">
        <is>
          <t>Fees &amp; Finance</t>
        </is>
      </c>
      <c r="D168" s="2" t="inlineStr">
        <is>
          <t>Phase 2</t>
        </is>
      </c>
      <c r="E168" s="2" t="inlineStr">
        <is>
          <t>US-0323, US-0324</t>
        </is>
      </c>
      <c r="F168" s="24" t="n"/>
      <c r="G168" s="24" t="n"/>
      <c r="H168" s="32" t="n"/>
      <c r="I168" s="2" t="inlineStr">
        <is>
          <t>Ready</t>
        </is>
      </c>
      <c r="J168" s="38" t="inlineStr">
        <is>
          <t>In progress</t>
        </is>
      </c>
      <c r="K168" s="38" t="inlineStr">
        <is>
          <t>In progress</t>
        </is>
      </c>
      <c r="L168" s="24" t="inlineStr">
        <is>
          <t>Not assessed</t>
        </is>
      </c>
      <c r="M168" s="24" t="inlineStr">
        <is>
          <t>Not assessed</t>
        </is>
      </c>
      <c r="N168" s="24" t="inlineStr">
        <is>
          <t>Not assessed</t>
        </is>
      </c>
      <c r="O168" s="35" t="n"/>
      <c r="P168" s="24" t="inlineStr">
        <is>
          <t>Not scheduled</t>
        </is>
      </c>
      <c r="Q168" s="24" t="n"/>
      <c r="R168" s="24" t="inlineStr">
        <is>
          <t>A filter, not a dues or ageing report</t>
        </is>
      </c>
      <c r="S168" s="24" t="n"/>
      <c r="T168" s="24" t="n"/>
      <c r="U168" s="36" t="n">
        <v>46285</v>
      </c>
      <c r="V168" s="24" t="n"/>
      <c r="W168" s="15">
        <f>IF(P168="Production",IF(X168="Yes","Released","Review release"),IF(P168="Rolled back","Rolled back",IF(OR(Q168&lt;&gt;"",COUNTIFS(J168:N168,"Blocked")&gt;0),"Blocked",IF(OR(M168="Failed",N168="Rejected",AND(ISNUMBER(O168),O168&gt;0)),"Rework",IF(X168="Yes","Ready for release",IF(N168="Accepted","Verify completion",IF(OR(M168="Passed",M168="In progress",N168="In review"),"Testing / review",IF(OR(COUNTIFS(J168:L168,"In progress")&gt;0,COUNTIFS(J168:L168,"In review")&gt;0,COUNTIFS(J168:L168,"Done")&gt;0),"In progress",IF(COUNTIFS(J168:N168,"Not assessed")=5,"Not assessed","Planned")))))))))</f>
        <v/>
      </c>
      <c r="X168" s="15">
        <f>IF(AND(J168="Done",OR(K168="Done",K168="Not required"),OR(L168="Done",L168="Not required"),M168="Passed",N168="Accepted",ISNUMBER(O168),O168=0,Q168="",F168&lt;&gt;"",S168&lt;&gt;"",T168&lt;&gt;"",ISNUMBER(U168),OR(AND(K168&lt;&gt;"Not required",L168&lt;&gt;"Not required"),V168&lt;&gt;""),P168&lt;&gt;"Rolled back"),"Yes","No")</f>
        <v/>
      </c>
      <c r="Y168" s="15">
        <f>IF(X168="Yes","Completed",IF(H168="","No deadline",IF(NOT(ISNUMBER(H168)),"Check date",IF(H168&lt;Overview!$I$3,"Overdue",IF(H168&lt;=Overview!$I$3+7,"Due soon","On track")))))</f>
        <v/>
      </c>
      <c r="Z168" s="37">
        <f>IF(AND(X168&lt;&gt;"Yes",ISNUMBER(H168)),MAX(0,Overview!$I$3-H168),0)</f>
        <v/>
      </c>
      <c r="AA168" s="5" t="inlineStr">
        <is>
          <t>Accountant</t>
        </is>
      </c>
      <c r="AB168" t="inlineStr">
        <is>
          <t>/school/fees</t>
        </is>
      </c>
    </row>
    <row r="169" ht="35" customHeight="1">
      <c r="A169" s="2" t="inlineStr">
        <is>
          <t>SCR-163</t>
        </is>
      </c>
      <c r="B169" s="5" t="inlineStr">
        <is>
          <t>Concession / Scholarship</t>
        </is>
      </c>
      <c r="C169" s="5" t="inlineStr">
        <is>
          <t>Fees &amp; Finance</t>
        </is>
      </c>
      <c r="D169" s="2" t="inlineStr">
        <is>
          <t>Phase 2</t>
        </is>
      </c>
      <c r="E169" s="2" t="inlineStr">
        <is>
          <t>US-0325, US-0326</t>
        </is>
      </c>
      <c r="F169" s="24" t="n"/>
      <c r="G169" s="24" t="n"/>
      <c r="H169" s="32" t="n"/>
      <c r="I169" s="2" t="inlineStr">
        <is>
          <t>Ready</t>
        </is>
      </c>
      <c r="J169" s="33" t="inlineStr">
        <is>
          <t>Done</t>
        </is>
      </c>
      <c r="K169" s="33" t="inlineStr">
        <is>
          <t>Done</t>
        </is>
      </c>
      <c r="L169" s="24" t="inlineStr">
        <is>
          <t>Not assessed</t>
        </is>
      </c>
      <c r="M169" s="24" t="inlineStr">
        <is>
          <t>Not assessed</t>
        </is>
      </c>
      <c r="N169" s="24" t="inlineStr">
        <is>
          <t>Not assessed</t>
        </is>
      </c>
      <c r="O169" s="35" t="n"/>
      <c r="P169" s="24" t="inlineStr">
        <is>
          <t>Not scheduled</t>
        </is>
      </c>
      <c r="Q169" s="24" t="n"/>
      <c r="R169" s="24" t="inlineStr">
        <is>
          <t>Concessions: add, amend, end</t>
        </is>
      </c>
      <c r="S169" s="24" t="n"/>
      <c r="T169" s="24" t="n"/>
      <c r="U169" s="36" t="n">
        <v>46285</v>
      </c>
      <c r="V169" s="24" t="n"/>
      <c r="W169" s="15">
        <f>IF(P169="Production",IF(X169="Yes","Released","Review release"),IF(P169="Rolled back","Rolled back",IF(OR(Q169&lt;&gt;"",COUNTIFS(J169:N169,"Blocked")&gt;0),"Blocked",IF(OR(M169="Failed",N169="Rejected",AND(ISNUMBER(O169),O169&gt;0)),"Rework",IF(X169="Yes","Ready for release",IF(N169="Accepted","Verify completion",IF(OR(M169="Passed",M169="In progress",N169="In review"),"Testing / review",IF(OR(COUNTIFS(J169:L169,"In progress")&gt;0,COUNTIFS(J169:L169,"In review")&gt;0,COUNTIFS(J169:L169,"Done")&gt;0),"In progress",IF(COUNTIFS(J169:N169,"Not assessed")=5,"Not assessed","Planned")))))))))</f>
        <v/>
      </c>
      <c r="X169" s="15">
        <f>IF(AND(J169="Done",OR(K169="Done",K169="Not required"),OR(L169="Done",L169="Not required"),M169="Passed",N169="Accepted",ISNUMBER(O169),O169=0,Q169="",F169&lt;&gt;"",S169&lt;&gt;"",T169&lt;&gt;"",ISNUMBER(U169),OR(AND(K169&lt;&gt;"Not required",L169&lt;&gt;"Not required"),V169&lt;&gt;""),P169&lt;&gt;"Rolled back"),"Yes","No")</f>
        <v/>
      </c>
      <c r="Y169" s="15">
        <f>IF(X169="Yes","Completed",IF(H169="","No deadline",IF(NOT(ISNUMBER(H169)),"Check date",IF(H169&lt;Overview!$I$3,"Overdue",IF(H169&lt;=Overview!$I$3+7,"Due soon","On track")))))</f>
        <v/>
      </c>
      <c r="Z169" s="37">
        <f>IF(AND(X169&lt;&gt;"Yes",ISNUMBER(H169)),MAX(0,Overview!$I$3-H169),0)</f>
        <v/>
      </c>
      <c r="AA169" s="5" t="inlineStr">
        <is>
          <t>Accountant</t>
        </is>
      </c>
      <c r="AB169" t="inlineStr">
        <is>
          <t>/school/accounts</t>
        </is>
      </c>
    </row>
    <row r="170" ht="35" customHeight="1">
      <c r="A170" s="2" t="inlineStr">
        <is>
          <t>SCR-164</t>
        </is>
      </c>
      <c r="B170" s="5" t="inlineStr">
        <is>
          <t>Fine Rules</t>
        </is>
      </c>
      <c r="C170" s="5" t="inlineStr">
        <is>
          <t>Fees &amp; Finance</t>
        </is>
      </c>
      <c r="D170" s="2" t="inlineStr">
        <is>
          <t>Phase 2</t>
        </is>
      </c>
      <c r="E170" s="2" t="inlineStr">
        <is>
          <t>US-0327, US-0328</t>
        </is>
      </c>
      <c r="F170" s="24" t="n"/>
      <c r="G170" s="24" t="n"/>
      <c r="H170" s="32" t="n"/>
      <c r="I170" s="2" t="inlineStr">
        <is>
          <t>Ready</t>
        </is>
      </c>
      <c r="J170" s="33" t="inlineStr">
        <is>
          <t>Done</t>
        </is>
      </c>
      <c r="K170" s="33" t="inlineStr">
        <is>
          <t>Done</t>
        </is>
      </c>
      <c r="L170" s="24" t="inlineStr">
        <is>
          <t>Not assessed</t>
        </is>
      </c>
      <c r="M170" s="24" t="inlineStr">
        <is>
          <t>Not assessed</t>
        </is>
      </c>
      <c r="N170" s="24" t="inlineStr">
        <is>
          <t>Not assessed</t>
        </is>
      </c>
      <c r="O170" s="35" t="n"/>
      <c r="P170" s="24" t="inlineStr">
        <is>
          <t>Not scheduled</t>
        </is>
      </c>
      <c r="Q170" s="24" t="n"/>
      <c r="R170" s="24" t="inlineStr">
        <is>
          <t>Rule CRUD with preview and charge</t>
        </is>
      </c>
      <c r="S170" s="24" t="n"/>
      <c r="T170" s="24" t="n"/>
      <c r="U170" s="36" t="n">
        <v>46285</v>
      </c>
      <c r="V170" s="24" t="n"/>
      <c r="W170" s="15">
        <f>IF(P170="Production",IF(X170="Yes","Released","Review release"),IF(P170="Rolled back","Rolled back",IF(OR(Q170&lt;&gt;"",COUNTIFS(J170:N170,"Blocked")&gt;0),"Blocked",IF(OR(M170="Failed",N170="Rejected",AND(ISNUMBER(O170),O170&gt;0)),"Rework",IF(X170="Yes","Ready for release",IF(N170="Accepted","Verify completion",IF(OR(M170="Passed",M170="In progress",N170="In review"),"Testing / review",IF(OR(COUNTIFS(J170:L170,"In progress")&gt;0,COUNTIFS(J170:L170,"In review")&gt;0,COUNTIFS(J170:L170,"Done")&gt;0),"In progress",IF(COUNTIFS(J170:N170,"Not assessed")=5,"Not assessed","Planned")))))))))</f>
        <v/>
      </c>
      <c r="X170" s="15">
        <f>IF(AND(J170="Done",OR(K170="Done",K170="Not required"),OR(L170="Done",L170="Not required"),M170="Passed",N170="Accepted",ISNUMBER(O170),O170=0,Q170="",F170&lt;&gt;"",S170&lt;&gt;"",T170&lt;&gt;"",ISNUMBER(U170),OR(AND(K170&lt;&gt;"Not required",L170&lt;&gt;"Not required"),V170&lt;&gt;""),P170&lt;&gt;"Rolled back"),"Yes","No")</f>
        <v/>
      </c>
      <c r="Y170" s="15">
        <f>IF(X170="Yes","Completed",IF(H170="","No deadline",IF(NOT(ISNUMBER(H170)),"Check date",IF(H170&lt;Overview!$I$3,"Overdue",IF(H170&lt;=Overview!$I$3+7,"Due soon","On track")))))</f>
        <v/>
      </c>
      <c r="Z170" s="37">
        <f>IF(AND(X170&lt;&gt;"Yes",ISNUMBER(H170)),MAX(0,Overview!$I$3-H170),0)</f>
        <v/>
      </c>
      <c r="AA170" s="5" t="inlineStr">
        <is>
          <t>Accountant</t>
        </is>
      </c>
      <c r="AB170" t="inlineStr">
        <is>
          <t>/school/fees/late-refunds</t>
        </is>
      </c>
    </row>
    <row r="171" ht="35" customHeight="1">
      <c r="A171" s="2" t="inlineStr">
        <is>
          <t>SCR-165</t>
        </is>
      </c>
      <c r="B171" s="5" t="inlineStr">
        <is>
          <t>Refunds</t>
        </is>
      </c>
      <c r="C171" s="5" t="inlineStr">
        <is>
          <t>Fees &amp; Finance</t>
        </is>
      </c>
      <c r="D171" s="2" t="inlineStr">
        <is>
          <t>Phase 2</t>
        </is>
      </c>
      <c r="E171" s="2" t="inlineStr">
        <is>
          <t>US-0329, US-0330</t>
        </is>
      </c>
      <c r="F171" s="24" t="n"/>
      <c r="G171" s="24" t="n"/>
      <c r="H171" s="32" t="n"/>
      <c r="I171" s="2" t="inlineStr">
        <is>
          <t>Ready</t>
        </is>
      </c>
      <c r="J171" s="33" t="inlineStr">
        <is>
          <t>Done</t>
        </is>
      </c>
      <c r="K171" s="33" t="inlineStr">
        <is>
          <t>Done</t>
        </is>
      </c>
      <c r="L171" s="24" t="inlineStr">
        <is>
          <t>Not assessed</t>
        </is>
      </c>
      <c r="M171" s="24" t="inlineStr">
        <is>
          <t>Not assessed</t>
        </is>
      </c>
      <c r="N171" s="24" t="inlineStr">
        <is>
          <t>Not assessed</t>
        </is>
      </c>
      <c r="O171" s="35" t="n"/>
      <c r="P171" s="24" t="inlineStr">
        <is>
          <t>Not scheduled</t>
        </is>
      </c>
      <c r="Q171" s="24" t="n"/>
      <c r="R171" s="24" t="inlineStr">
        <is>
          <t>Request, decide, pay out with reference</t>
        </is>
      </c>
      <c r="S171" s="24" t="n"/>
      <c r="T171" s="24" t="n"/>
      <c r="U171" s="36" t="n">
        <v>46285</v>
      </c>
      <c r="V171" s="24" t="n"/>
      <c r="W171" s="15">
        <f>IF(P171="Production",IF(X171="Yes","Released","Review release"),IF(P171="Rolled back","Rolled back",IF(OR(Q171&lt;&gt;"",COUNTIFS(J171:N171,"Blocked")&gt;0),"Blocked",IF(OR(M171="Failed",N171="Rejected",AND(ISNUMBER(O171),O171&gt;0)),"Rework",IF(X171="Yes","Ready for release",IF(N171="Accepted","Verify completion",IF(OR(M171="Passed",M171="In progress",N171="In review"),"Testing / review",IF(OR(COUNTIFS(J171:L171,"In progress")&gt;0,COUNTIFS(J171:L171,"In review")&gt;0,COUNTIFS(J171:L171,"Done")&gt;0),"In progress",IF(COUNTIFS(J171:N171,"Not assessed")=5,"Not assessed","Planned")))))))))</f>
        <v/>
      </c>
      <c r="X171" s="15">
        <f>IF(AND(J171="Done",OR(K171="Done",K171="Not required"),OR(L171="Done",L171="Not required"),M171="Passed",N171="Accepted",ISNUMBER(O171),O171=0,Q171="",F171&lt;&gt;"",S171&lt;&gt;"",T171&lt;&gt;"",ISNUMBER(U171),OR(AND(K171&lt;&gt;"Not required",L171&lt;&gt;"Not required"),V171&lt;&gt;""),P171&lt;&gt;"Rolled back"),"Yes","No")</f>
        <v/>
      </c>
      <c r="Y171" s="15">
        <f>IF(X171="Yes","Completed",IF(H171="","No deadline",IF(NOT(ISNUMBER(H171)),"Check date",IF(H171&lt;Overview!$I$3,"Overdue",IF(H171&lt;=Overview!$I$3+7,"Due soon","On track")))))</f>
        <v/>
      </c>
      <c r="Z171" s="37">
        <f>IF(AND(X171&lt;&gt;"Yes",ISNUMBER(H171)),MAX(0,Overview!$I$3-H171),0)</f>
        <v/>
      </c>
      <c r="AA171" s="5" t="inlineStr">
        <is>
          <t>Accountant</t>
        </is>
      </c>
      <c r="AB171" t="inlineStr">
        <is>
          <t>/school/fees/late-refunds</t>
        </is>
      </c>
    </row>
    <row r="172" ht="35" customHeight="1">
      <c r="A172" s="2" t="inlineStr">
        <is>
          <t>SCR-166</t>
        </is>
      </c>
      <c r="B172" s="5" t="inlineStr">
        <is>
          <t>Income</t>
        </is>
      </c>
      <c r="C172" s="5" t="inlineStr">
        <is>
          <t>Fees &amp; Finance</t>
        </is>
      </c>
      <c r="D172" s="2" t="inlineStr">
        <is>
          <t>Phase 3</t>
        </is>
      </c>
      <c r="E172" s="2" t="inlineStr">
        <is>
          <t>US-0331, US-0332</t>
        </is>
      </c>
      <c r="F172" s="24" t="n"/>
      <c r="G172" s="24" t="n"/>
      <c r="H172" s="32" t="n"/>
      <c r="I172" s="2" t="inlineStr">
        <is>
          <t>Ready</t>
        </is>
      </c>
      <c r="J172" s="33" t="inlineStr">
        <is>
          <t>Done</t>
        </is>
      </c>
      <c r="K172" s="33" t="inlineStr">
        <is>
          <t>Done</t>
        </is>
      </c>
      <c r="L172" s="24" t="inlineStr">
        <is>
          <t>Not assessed</t>
        </is>
      </c>
      <c r="M172" s="24" t="inlineStr">
        <is>
          <t>Not assessed</t>
        </is>
      </c>
      <c r="N172" s="24" t="inlineStr">
        <is>
          <t>Not assessed</t>
        </is>
      </c>
      <c r="O172" s="35" t="n"/>
      <c r="P172" s="24" t="inlineStr">
        <is>
          <t>Not scheduled</t>
        </is>
      </c>
      <c r="Q172" s="24" t="n"/>
      <c r="R172" s="24" t="inlineStr">
        <is>
          <t>Other income with source, mode, void</t>
        </is>
      </c>
      <c r="S172" s="24" t="n"/>
      <c r="T172" s="24" t="n"/>
      <c r="U172" s="36" t="n">
        <v>46285</v>
      </c>
      <c r="V172" s="24" t="n"/>
      <c r="W172" s="15">
        <f>IF(P172="Production",IF(X172="Yes","Released","Review release"),IF(P172="Rolled back","Rolled back",IF(OR(Q172&lt;&gt;"",COUNTIFS(J172:N172,"Blocked")&gt;0),"Blocked",IF(OR(M172="Failed",N172="Rejected",AND(ISNUMBER(O172),O172&gt;0)),"Rework",IF(X172="Yes","Ready for release",IF(N172="Accepted","Verify completion",IF(OR(M172="Passed",M172="In progress",N172="In review"),"Testing / review",IF(OR(COUNTIFS(J172:L172,"In progress")&gt;0,COUNTIFS(J172:L172,"In review")&gt;0,COUNTIFS(J172:L172,"Done")&gt;0),"In progress",IF(COUNTIFS(J172:N172,"Not assessed")=5,"Not assessed","Planned")))))))))</f>
        <v/>
      </c>
      <c r="X172" s="15">
        <f>IF(AND(J172="Done",OR(K172="Done",K172="Not required"),OR(L172="Done",L172="Not required"),M172="Passed",N172="Accepted",ISNUMBER(O172),O172=0,Q172="",F172&lt;&gt;"",S172&lt;&gt;"",T172&lt;&gt;"",ISNUMBER(U172),OR(AND(K172&lt;&gt;"Not required",L172&lt;&gt;"Not required"),V172&lt;&gt;""),P172&lt;&gt;"Rolled back"),"Yes","No")</f>
        <v/>
      </c>
      <c r="Y172" s="15">
        <f>IF(X172="Yes","Completed",IF(H172="","No deadline",IF(NOT(ISNUMBER(H172)),"Check date",IF(H172&lt;Overview!$I$3,"Overdue",IF(H172&lt;=Overview!$I$3+7,"Due soon","On track")))))</f>
        <v/>
      </c>
      <c r="Z172" s="37">
        <f>IF(AND(X172&lt;&gt;"Yes",ISNUMBER(H172)),MAX(0,Overview!$I$3-H172),0)</f>
        <v/>
      </c>
      <c r="AA172" s="5" t="inlineStr">
        <is>
          <t>Accountant</t>
        </is>
      </c>
      <c r="AB172" t="inlineStr">
        <is>
          <t>/school/accounts</t>
        </is>
      </c>
    </row>
    <row r="173" ht="35" customHeight="1">
      <c r="A173" s="2" t="inlineStr">
        <is>
          <t>SCR-167</t>
        </is>
      </c>
      <c r="B173" s="5" t="inlineStr">
        <is>
          <t>Expenses</t>
        </is>
      </c>
      <c r="C173" s="5" t="inlineStr">
        <is>
          <t>Fees &amp; Finance</t>
        </is>
      </c>
      <c r="D173" s="2" t="inlineStr">
        <is>
          <t>Phase 3</t>
        </is>
      </c>
      <c r="E173" s="2" t="inlineStr">
        <is>
          <t>US-0333, US-0334</t>
        </is>
      </c>
      <c r="F173" s="24" t="n"/>
      <c r="G173" s="24" t="n"/>
      <c r="H173" s="32" t="n"/>
      <c r="I173" s="2" t="inlineStr">
        <is>
          <t>Ready</t>
        </is>
      </c>
      <c r="J173" s="33" t="inlineStr">
        <is>
          <t>Done</t>
        </is>
      </c>
      <c r="K173" s="33" t="inlineStr">
        <is>
          <t>Done</t>
        </is>
      </c>
      <c r="L173" s="24" t="inlineStr">
        <is>
          <t>Not assessed</t>
        </is>
      </c>
      <c r="M173" s="24" t="inlineStr">
        <is>
          <t>Not assessed</t>
        </is>
      </c>
      <c r="N173" s="24" t="inlineStr">
        <is>
          <t>Not assessed</t>
        </is>
      </c>
      <c r="O173" s="35" t="n"/>
      <c r="P173" s="24" t="inlineStr">
        <is>
          <t>Not scheduled</t>
        </is>
      </c>
      <c r="Q173" s="24" t="n"/>
      <c r="R173" s="24" t="inlineStr">
        <is>
          <t>Expenses with void and reason</t>
        </is>
      </c>
      <c r="S173" s="24" t="n"/>
      <c r="T173" s="24" t="n"/>
      <c r="U173" s="36" t="n">
        <v>46285</v>
      </c>
      <c r="V173" s="24" t="n"/>
      <c r="W173" s="15">
        <f>IF(P173="Production",IF(X173="Yes","Released","Review release"),IF(P173="Rolled back","Rolled back",IF(OR(Q173&lt;&gt;"",COUNTIFS(J173:N173,"Blocked")&gt;0),"Blocked",IF(OR(M173="Failed",N173="Rejected",AND(ISNUMBER(O173),O173&gt;0)),"Rework",IF(X173="Yes","Ready for release",IF(N173="Accepted","Verify completion",IF(OR(M173="Passed",M173="In progress",N173="In review"),"Testing / review",IF(OR(COUNTIFS(J173:L173,"In progress")&gt;0,COUNTIFS(J173:L173,"In review")&gt;0,COUNTIFS(J173:L173,"Done")&gt;0),"In progress",IF(COUNTIFS(J173:N173,"Not assessed")=5,"Not assessed","Planned")))))))))</f>
        <v/>
      </c>
      <c r="X173" s="15">
        <f>IF(AND(J173="Done",OR(K173="Done",K173="Not required"),OR(L173="Done",L173="Not required"),M173="Passed",N173="Accepted",ISNUMBER(O173),O173=0,Q173="",F173&lt;&gt;"",S173&lt;&gt;"",T173&lt;&gt;"",ISNUMBER(U173),OR(AND(K173&lt;&gt;"Not required",L173&lt;&gt;"Not required"),V173&lt;&gt;""),P173&lt;&gt;"Rolled back"),"Yes","No")</f>
        <v/>
      </c>
      <c r="Y173" s="15">
        <f>IF(X173="Yes","Completed",IF(H173="","No deadline",IF(NOT(ISNUMBER(H173)),"Check date",IF(H173&lt;Overview!$I$3,"Overdue",IF(H173&lt;=Overview!$I$3+7,"Due soon","On track")))))</f>
        <v/>
      </c>
      <c r="Z173" s="37">
        <f>IF(AND(X173&lt;&gt;"Yes",ISNUMBER(H173)),MAX(0,Overview!$I$3-H173),0)</f>
        <v/>
      </c>
      <c r="AA173" s="5" t="inlineStr">
        <is>
          <t>Accountant</t>
        </is>
      </c>
      <c r="AB173" t="inlineStr">
        <is>
          <t>/school/accounts</t>
        </is>
      </c>
    </row>
    <row r="174" ht="35" customHeight="1">
      <c r="A174" s="2" t="inlineStr">
        <is>
          <t>SCR-168</t>
        </is>
      </c>
      <c r="B174" s="5" t="inlineStr">
        <is>
          <t>Vendor Management</t>
        </is>
      </c>
      <c r="C174" s="5" t="inlineStr">
        <is>
          <t>Fees &amp; Finance</t>
        </is>
      </c>
      <c r="D174" s="2" t="inlineStr">
        <is>
          <t>Phase 3</t>
        </is>
      </c>
      <c r="E174" s="2" t="inlineStr">
        <is>
          <t>US-0335, US-0336</t>
        </is>
      </c>
      <c r="F174" s="24" t="n"/>
      <c r="G174" s="24" t="n"/>
      <c r="H174" s="32" t="n"/>
      <c r="I174" s="2" t="inlineStr">
        <is>
          <t>Ready</t>
        </is>
      </c>
      <c r="J174" s="38" t="inlineStr">
        <is>
          <t>In progress</t>
        </is>
      </c>
      <c r="K174" s="33" t="inlineStr">
        <is>
          <t>Done</t>
        </is>
      </c>
      <c r="L174" s="24" t="inlineStr">
        <is>
          <t>Not assessed</t>
        </is>
      </c>
      <c r="M174" s="24" t="inlineStr">
        <is>
          <t>Not assessed</t>
        </is>
      </c>
      <c r="N174" s="24" t="inlineStr">
        <is>
          <t>Not assessed</t>
        </is>
      </c>
      <c r="O174" s="35" t="n"/>
      <c r="P174" s="24" t="inlineStr">
        <is>
          <t>Not scheduled</t>
        </is>
      </c>
      <c r="Q174" s="24" t="n"/>
      <c r="R174" s="24" t="inlineStr">
        <is>
          <t>Supplier master; no ledger or payables</t>
        </is>
      </c>
      <c r="S174" s="24" t="n"/>
      <c r="T174" s="24" t="n"/>
      <c r="U174" s="36" t="n">
        <v>46285</v>
      </c>
      <c r="V174" s="24" t="n"/>
      <c r="W174" s="15">
        <f>IF(P174="Production",IF(X174="Yes","Released","Review release"),IF(P174="Rolled back","Rolled back",IF(OR(Q174&lt;&gt;"",COUNTIFS(J174:N174,"Blocked")&gt;0),"Blocked",IF(OR(M174="Failed",N174="Rejected",AND(ISNUMBER(O174),O174&gt;0)),"Rework",IF(X174="Yes","Ready for release",IF(N174="Accepted","Verify completion",IF(OR(M174="Passed",M174="In progress",N174="In review"),"Testing / review",IF(OR(COUNTIFS(J174:L174,"In progress")&gt;0,COUNTIFS(J174:L174,"In review")&gt;0,COUNTIFS(J174:L174,"Done")&gt;0),"In progress",IF(COUNTIFS(J174:N174,"Not assessed")=5,"Not assessed","Planned")))))))))</f>
        <v/>
      </c>
      <c r="X174" s="15">
        <f>IF(AND(J174="Done",OR(K174="Done",K174="Not required"),OR(L174="Done",L174="Not required"),M174="Passed",N174="Accepted",ISNUMBER(O174),O174=0,Q174="",F174&lt;&gt;"",S174&lt;&gt;"",T174&lt;&gt;"",ISNUMBER(U174),OR(AND(K174&lt;&gt;"Not required",L174&lt;&gt;"Not required"),V174&lt;&gt;""),P174&lt;&gt;"Rolled back"),"Yes","No")</f>
        <v/>
      </c>
      <c r="Y174" s="15">
        <f>IF(X174="Yes","Completed",IF(H174="","No deadline",IF(NOT(ISNUMBER(H174)),"Check date",IF(H174&lt;Overview!$I$3,"Overdue",IF(H174&lt;=Overview!$I$3+7,"Due soon","On track")))))</f>
        <v/>
      </c>
      <c r="Z174" s="37">
        <f>IF(AND(X174&lt;&gt;"Yes",ISNUMBER(H174)),MAX(0,Overview!$I$3-H174),0)</f>
        <v/>
      </c>
      <c r="AA174" s="5" t="inlineStr">
        <is>
          <t>Accountant</t>
        </is>
      </c>
      <c r="AB174" t="inlineStr">
        <is>
          <t>/school/inventory</t>
        </is>
      </c>
    </row>
    <row r="175" ht="35" customHeight="1">
      <c r="A175" s="2" t="inlineStr">
        <is>
          <t>SCR-169</t>
        </is>
      </c>
      <c r="B175" s="5" t="inlineStr">
        <is>
          <t>Purchase / Payment</t>
        </is>
      </c>
      <c r="C175" s="5" t="inlineStr">
        <is>
          <t>Fees &amp; Finance</t>
        </is>
      </c>
      <c r="D175" s="2" t="inlineStr">
        <is>
          <t>Phase 3</t>
        </is>
      </c>
      <c r="E175" s="2" t="inlineStr">
        <is>
          <t>US-0337, US-0338</t>
        </is>
      </c>
      <c r="F175" s="24" t="n"/>
      <c r="G175" s="24" t="n"/>
      <c r="H175" s="32" t="n"/>
      <c r="I175" s="2" t="inlineStr">
        <is>
          <t>Ready</t>
        </is>
      </c>
      <c r="J175" s="38" t="inlineStr">
        <is>
          <t>In progress</t>
        </is>
      </c>
      <c r="K175" s="38" t="inlineStr">
        <is>
          <t>In progress</t>
        </is>
      </c>
      <c r="L175" s="24" t="inlineStr">
        <is>
          <t>Not assessed</t>
        </is>
      </c>
      <c r="M175" s="24" t="inlineStr">
        <is>
          <t>Not assessed</t>
        </is>
      </c>
      <c r="N175" s="24" t="inlineStr">
        <is>
          <t>Not assessed</t>
        </is>
      </c>
      <c r="O175" s="35" t="n"/>
      <c r="P175" s="24" t="inlineStr">
        <is>
          <t>Not scheduled</t>
        </is>
      </c>
      <c r="Q175" s="24" t="n"/>
      <c r="R175" s="24" t="inlineStr">
        <is>
          <t>No purchase order, bill or payment tracking</t>
        </is>
      </c>
      <c r="S175" s="24" t="n"/>
      <c r="T175" s="24" t="n"/>
      <c r="U175" s="36" t="n">
        <v>46285</v>
      </c>
      <c r="V175" s="24" t="n"/>
      <c r="W175" s="15">
        <f>IF(P175="Production",IF(X175="Yes","Released","Review release"),IF(P175="Rolled back","Rolled back",IF(OR(Q175&lt;&gt;"",COUNTIFS(J175:N175,"Blocked")&gt;0),"Blocked",IF(OR(M175="Failed",N175="Rejected",AND(ISNUMBER(O175),O175&gt;0)),"Rework",IF(X175="Yes","Ready for release",IF(N175="Accepted","Verify completion",IF(OR(M175="Passed",M175="In progress",N175="In review"),"Testing / review",IF(OR(COUNTIFS(J175:L175,"In progress")&gt;0,COUNTIFS(J175:L175,"In review")&gt;0,COUNTIFS(J175:L175,"Done")&gt;0),"In progress",IF(COUNTIFS(J175:N175,"Not assessed")=5,"Not assessed","Planned")))))))))</f>
        <v/>
      </c>
      <c r="X175" s="15">
        <f>IF(AND(J175="Done",OR(K175="Done",K175="Not required"),OR(L175="Done",L175="Not required"),M175="Passed",N175="Accepted",ISNUMBER(O175),O175=0,Q175="",F175&lt;&gt;"",S175&lt;&gt;"",T175&lt;&gt;"",ISNUMBER(U175),OR(AND(K175&lt;&gt;"Not required",L175&lt;&gt;"Not required"),V175&lt;&gt;""),P175&lt;&gt;"Rolled back"),"Yes","No")</f>
        <v/>
      </c>
      <c r="Y175" s="15">
        <f>IF(X175="Yes","Completed",IF(H175="","No deadline",IF(NOT(ISNUMBER(H175)),"Check date",IF(H175&lt;Overview!$I$3,"Overdue",IF(H175&lt;=Overview!$I$3+7,"Due soon","On track")))))</f>
        <v/>
      </c>
      <c r="Z175" s="37">
        <f>IF(AND(X175&lt;&gt;"Yes",ISNUMBER(H175)),MAX(0,Overview!$I$3-H175),0)</f>
        <v/>
      </c>
      <c r="AA175" s="5" t="inlineStr">
        <is>
          <t>Accountant</t>
        </is>
      </c>
      <c r="AB175" t="inlineStr">
        <is>
          <t>/school/inventory</t>
        </is>
      </c>
    </row>
    <row r="176" ht="35" customHeight="1">
      <c r="A176" s="2" t="inlineStr">
        <is>
          <t>SCR-170</t>
        </is>
      </c>
      <c r="B176" s="5" t="inlineStr">
        <is>
          <t>Cash &amp; Bank Book</t>
        </is>
      </c>
      <c r="C176" s="5" t="inlineStr">
        <is>
          <t>Fees &amp; Finance</t>
        </is>
      </c>
      <c r="D176" s="2" t="inlineStr">
        <is>
          <t>Phase 3</t>
        </is>
      </c>
      <c r="E176" s="2" t="inlineStr">
        <is>
          <t>US-0339, US-0340</t>
        </is>
      </c>
      <c r="F176" s="24" t="n"/>
      <c r="G176" s="24" t="n"/>
      <c r="H176" s="32" t="n"/>
      <c r="I176" s="2" t="inlineStr">
        <is>
          <t>Ready</t>
        </is>
      </c>
      <c r="J176" s="33" t="inlineStr">
        <is>
          <t>Done</t>
        </is>
      </c>
      <c r="K176" s="33" t="inlineStr">
        <is>
          <t>Done</t>
        </is>
      </c>
      <c r="L176" s="24" t="inlineStr">
        <is>
          <t>Not assessed</t>
        </is>
      </c>
      <c r="M176" s="24" t="inlineStr">
        <is>
          <t>Not assessed</t>
        </is>
      </c>
      <c r="N176" s="24" t="inlineStr">
        <is>
          <t>Not assessed</t>
        </is>
      </c>
      <c r="O176" s="35" t="n"/>
      <c r="P176" s="24" t="inlineStr">
        <is>
          <t>Not scheduled</t>
        </is>
      </c>
      <c r="Q176" s="24" t="n"/>
      <c r="R176" s="24" t="inlineStr">
        <is>
          <t>Cash book by mode across a date range</t>
        </is>
      </c>
      <c r="S176" s="24" t="n"/>
      <c r="T176" s="24" t="n"/>
      <c r="U176" s="36" t="n">
        <v>46285</v>
      </c>
      <c r="V176" s="24" t="n"/>
      <c r="W176" s="15">
        <f>IF(P176="Production",IF(X176="Yes","Released","Review release"),IF(P176="Rolled back","Rolled back",IF(OR(Q176&lt;&gt;"",COUNTIFS(J176:N176,"Blocked")&gt;0),"Blocked",IF(OR(M176="Failed",N176="Rejected",AND(ISNUMBER(O176),O176&gt;0)),"Rework",IF(X176="Yes","Ready for release",IF(N176="Accepted","Verify completion",IF(OR(M176="Passed",M176="In progress",N176="In review"),"Testing / review",IF(OR(COUNTIFS(J176:L176,"In progress")&gt;0,COUNTIFS(J176:L176,"In review")&gt;0,COUNTIFS(J176:L176,"Done")&gt;0),"In progress",IF(COUNTIFS(J176:N176,"Not assessed")=5,"Not assessed","Planned")))))))))</f>
        <v/>
      </c>
      <c r="X176" s="15">
        <f>IF(AND(J176="Done",OR(K176="Done",K176="Not required"),OR(L176="Done",L176="Not required"),M176="Passed",N176="Accepted",ISNUMBER(O176),O176=0,Q176="",F176&lt;&gt;"",S176&lt;&gt;"",T176&lt;&gt;"",ISNUMBER(U176),OR(AND(K176&lt;&gt;"Not required",L176&lt;&gt;"Not required"),V176&lt;&gt;""),P176&lt;&gt;"Rolled back"),"Yes","No")</f>
        <v/>
      </c>
      <c r="Y176" s="15">
        <f>IF(X176="Yes","Completed",IF(H176="","No deadline",IF(NOT(ISNUMBER(H176)),"Check date",IF(H176&lt;Overview!$I$3,"Overdue",IF(H176&lt;=Overview!$I$3+7,"Due soon","On track")))))</f>
        <v/>
      </c>
      <c r="Z176" s="37">
        <f>IF(AND(X176&lt;&gt;"Yes",ISNUMBER(H176)),MAX(0,Overview!$I$3-H176),0)</f>
        <v/>
      </c>
      <c r="AA176" s="5" t="inlineStr">
        <is>
          <t>Accountant</t>
        </is>
      </c>
      <c r="AB176" t="inlineStr">
        <is>
          <t>/school/accounts</t>
        </is>
      </c>
    </row>
    <row r="177" ht="35" customHeight="1">
      <c r="A177" s="2" t="inlineStr">
        <is>
          <t>SCR-171</t>
        </is>
      </c>
      <c r="B177" s="5" t="inlineStr">
        <is>
          <t>Finance Reports</t>
        </is>
      </c>
      <c r="C177" s="5" t="inlineStr">
        <is>
          <t>Fees &amp; Finance</t>
        </is>
      </c>
      <c r="D177" s="2" t="inlineStr">
        <is>
          <t>Phase 3</t>
        </is>
      </c>
      <c r="E177" s="2" t="inlineStr">
        <is>
          <t>US-0341, US-0342</t>
        </is>
      </c>
      <c r="F177" s="24" t="n"/>
      <c r="G177" s="24" t="n"/>
      <c r="H177" s="32" t="n"/>
      <c r="I177" s="2" t="inlineStr">
        <is>
          <t>Ready</t>
        </is>
      </c>
      <c r="J177" s="38" t="inlineStr">
        <is>
          <t>In progress</t>
        </is>
      </c>
      <c r="K177" s="38" t="inlineStr">
        <is>
          <t>In progress</t>
        </is>
      </c>
      <c r="L177" s="24" t="inlineStr">
        <is>
          <t>Not assessed</t>
        </is>
      </c>
      <c r="M177" s="24" t="inlineStr">
        <is>
          <t>Not assessed</t>
        </is>
      </c>
      <c r="N177" s="24" t="inlineStr">
        <is>
          <t>Not assessed</t>
        </is>
      </c>
      <c r="O177" s="35" t="n"/>
      <c r="P177" s="24" t="inlineStr">
        <is>
          <t>Not scheduled</t>
        </is>
      </c>
      <c r="Q177" s="24" t="n"/>
      <c r="R177" s="24" t="inlineStr">
        <is>
          <t>CSV and builder; no finance report pack</t>
        </is>
      </c>
      <c r="S177" s="24" t="n"/>
      <c r="T177" s="24" t="n"/>
      <c r="U177" s="36" t="n">
        <v>46285</v>
      </c>
      <c r="V177" s="24" t="n"/>
      <c r="W177" s="15">
        <f>IF(P177="Production",IF(X177="Yes","Released","Review release"),IF(P177="Rolled back","Rolled back",IF(OR(Q177&lt;&gt;"",COUNTIFS(J177:N177,"Blocked")&gt;0),"Blocked",IF(OR(M177="Failed",N177="Rejected",AND(ISNUMBER(O177),O177&gt;0)),"Rework",IF(X177="Yes","Ready for release",IF(N177="Accepted","Verify completion",IF(OR(M177="Passed",M177="In progress",N177="In review"),"Testing / review",IF(OR(COUNTIFS(J177:L177,"In progress")&gt;0,COUNTIFS(J177:L177,"In review")&gt;0,COUNTIFS(J177:L177,"Done")&gt;0),"In progress",IF(COUNTIFS(J177:N177,"Not assessed")=5,"Not assessed","Planned")))))))))</f>
        <v/>
      </c>
      <c r="X177" s="15">
        <f>IF(AND(J177="Done",OR(K177="Done",K177="Not required"),OR(L177="Done",L177="Not required"),M177="Passed",N177="Accepted",ISNUMBER(O177),O177=0,Q177="",F177&lt;&gt;"",S177&lt;&gt;"",T177&lt;&gt;"",ISNUMBER(U177),OR(AND(K177&lt;&gt;"Not required",L177&lt;&gt;"Not required"),V177&lt;&gt;""),P177&lt;&gt;"Rolled back"),"Yes","No")</f>
        <v/>
      </c>
      <c r="Y177" s="15">
        <f>IF(X177="Yes","Completed",IF(H177="","No deadline",IF(NOT(ISNUMBER(H177)),"Check date",IF(H177&lt;Overview!$I$3,"Overdue",IF(H177&lt;=Overview!$I$3+7,"Due soon","On track")))))</f>
        <v/>
      </c>
      <c r="Z177" s="37">
        <f>IF(AND(X177&lt;&gt;"Yes",ISNUMBER(H177)),MAX(0,Overview!$I$3-H177),0)</f>
        <v/>
      </c>
      <c r="AA177" s="5" t="inlineStr">
        <is>
          <t>Accountant</t>
        </is>
      </c>
      <c r="AB177" t="inlineStr">
        <is>
          <t>/school/exports</t>
        </is>
      </c>
    </row>
    <row r="178" ht="35" customHeight="1">
      <c r="A178" s="2" t="inlineStr">
        <is>
          <t>SCR-172</t>
        </is>
      </c>
      <c r="B178" s="5" t="inlineStr">
        <is>
          <t>Recruitment Requisitions</t>
        </is>
      </c>
      <c r="C178" s="5" t="inlineStr">
        <is>
          <t>HR / Leave / Payroll</t>
        </is>
      </c>
      <c r="D178" s="2" t="inlineStr">
        <is>
          <t>Phase 2</t>
        </is>
      </c>
      <c r="E178" s="2" t="inlineStr">
        <is>
          <t>US-0343, US-0344</t>
        </is>
      </c>
      <c r="F178" s="24" t="n"/>
      <c r="G178" s="24" t="n"/>
      <c r="H178" s="32" t="n"/>
      <c r="I178" s="2" t="inlineStr">
        <is>
          <t>Ready</t>
        </is>
      </c>
      <c r="J178" s="39" t="inlineStr">
        <is>
          <t>Not started</t>
        </is>
      </c>
      <c r="K178" s="39" t="inlineStr">
        <is>
          <t>Not started</t>
        </is>
      </c>
      <c r="L178" s="24" t="inlineStr">
        <is>
          <t>Not assessed</t>
        </is>
      </c>
      <c r="M178" s="24" t="inlineStr">
        <is>
          <t>Not assessed</t>
        </is>
      </c>
      <c r="N178" s="24" t="inlineStr">
        <is>
          <t>Not assessed</t>
        </is>
      </c>
      <c r="O178" s="35" t="n"/>
      <c r="P178" s="24" t="inlineStr">
        <is>
          <t>Not scheduled</t>
        </is>
      </c>
      <c r="Q178" s="24" t="n"/>
      <c r="R178" s="24" t="inlineStr">
        <is>
          <t>No requisition or approval to hire</t>
        </is>
      </c>
      <c r="S178" s="24" t="n"/>
      <c r="T178" s="24" t="n"/>
      <c r="U178" s="36" t="n">
        <v>46285</v>
      </c>
      <c r="V178" s="24" t="n"/>
      <c r="W178" s="15">
        <f>IF(P178="Production",IF(X178="Yes","Released","Review release"),IF(P178="Rolled back","Rolled back",IF(OR(Q178&lt;&gt;"",COUNTIFS(J178:N178,"Blocked")&gt;0),"Blocked",IF(OR(M178="Failed",N178="Rejected",AND(ISNUMBER(O178),O178&gt;0)),"Rework",IF(X178="Yes","Ready for release",IF(N178="Accepted","Verify completion",IF(OR(M178="Passed",M178="In progress",N178="In review"),"Testing / review",IF(OR(COUNTIFS(J178:L178,"In progress")&gt;0,COUNTIFS(J178:L178,"In review")&gt;0,COUNTIFS(J178:L178,"Done")&gt;0),"In progress",IF(COUNTIFS(J178:N178,"Not assessed")=5,"Not assessed","Planned")))))))))</f>
        <v/>
      </c>
      <c r="X178" s="15">
        <f>IF(AND(J178="Done",OR(K178="Done",K178="Not required"),OR(L178="Done",L178="Not required"),M178="Passed",N178="Accepted",ISNUMBER(O178),O178=0,Q178="",F178&lt;&gt;"",S178&lt;&gt;"",T178&lt;&gt;"",ISNUMBER(U178),OR(AND(K178&lt;&gt;"Not required",L178&lt;&gt;"Not required"),V178&lt;&gt;""),P178&lt;&gt;"Rolled back"),"Yes","No")</f>
        <v/>
      </c>
      <c r="Y178" s="15">
        <f>IF(X178="Yes","Completed",IF(H178="","No deadline",IF(NOT(ISNUMBER(H178)),"Check date",IF(H178&lt;Overview!$I$3,"Overdue",IF(H178&lt;=Overview!$I$3+7,"Due soon","On track")))))</f>
        <v/>
      </c>
      <c r="Z178" s="37">
        <f>IF(AND(X178&lt;&gt;"Yes",ISNUMBER(H178)),MAX(0,Overview!$I$3-H178),0)</f>
        <v/>
      </c>
      <c r="AA178" s="5" t="inlineStr">
        <is>
          <t>HR</t>
        </is>
      </c>
      <c r="AB178" t="inlineStr">
        <is>
          <t>-</t>
        </is>
      </c>
    </row>
    <row r="179" ht="35" customHeight="1">
      <c r="A179" s="2" t="inlineStr">
        <is>
          <t>SCR-173</t>
        </is>
      </c>
      <c r="B179" s="5" t="inlineStr">
        <is>
          <t>Job Openings</t>
        </is>
      </c>
      <c r="C179" s="5" t="inlineStr">
        <is>
          <t>HR / Leave / Payroll</t>
        </is>
      </c>
      <c r="D179" s="2" t="inlineStr">
        <is>
          <t>Phase 2</t>
        </is>
      </c>
      <c r="E179" s="2" t="inlineStr">
        <is>
          <t>US-0345, US-0346</t>
        </is>
      </c>
      <c r="F179" s="24" t="n"/>
      <c r="G179" s="24" t="n"/>
      <c r="H179" s="32" t="n"/>
      <c r="I179" s="2" t="inlineStr">
        <is>
          <t>Ready</t>
        </is>
      </c>
      <c r="J179" s="33" t="inlineStr">
        <is>
          <t>Done</t>
        </is>
      </c>
      <c r="K179" s="33" t="inlineStr">
        <is>
          <t>Done</t>
        </is>
      </c>
      <c r="L179" s="24" t="inlineStr">
        <is>
          <t>Not assessed</t>
        </is>
      </c>
      <c r="M179" s="24" t="inlineStr">
        <is>
          <t>Not assessed</t>
        </is>
      </c>
      <c r="N179" s="24" t="inlineStr">
        <is>
          <t>Not assessed</t>
        </is>
      </c>
      <c r="O179" s="35" t="n"/>
      <c r="P179" s="24" t="inlineStr">
        <is>
          <t>Not scheduled</t>
        </is>
      </c>
      <c r="Q179" s="24" t="n"/>
      <c r="R179" s="24" t="inlineStr">
        <is>
          <t>Create, publish, close, careers flag</t>
        </is>
      </c>
      <c r="S179" s="24" t="n"/>
      <c r="T179" s="24" t="n"/>
      <c r="U179" s="36" t="n">
        <v>46285</v>
      </c>
      <c r="V179" s="24" t="n"/>
      <c r="W179" s="15">
        <f>IF(P179="Production",IF(X179="Yes","Released","Review release"),IF(P179="Rolled back","Rolled back",IF(OR(Q179&lt;&gt;"",COUNTIFS(J179:N179,"Blocked")&gt;0),"Blocked",IF(OR(M179="Failed",N179="Rejected",AND(ISNUMBER(O179),O179&gt;0)),"Rework",IF(X179="Yes","Ready for release",IF(N179="Accepted","Verify completion",IF(OR(M179="Passed",M179="In progress",N179="In review"),"Testing / review",IF(OR(COUNTIFS(J179:L179,"In progress")&gt;0,COUNTIFS(J179:L179,"In review")&gt;0,COUNTIFS(J179:L179,"Done")&gt;0),"In progress",IF(COUNTIFS(J179:N179,"Not assessed")=5,"Not assessed","Planned")))))))))</f>
        <v/>
      </c>
      <c r="X179" s="15">
        <f>IF(AND(J179="Done",OR(K179="Done",K179="Not required"),OR(L179="Done",L179="Not required"),M179="Passed",N179="Accepted",ISNUMBER(O179),O179=0,Q179="",F179&lt;&gt;"",S179&lt;&gt;"",T179&lt;&gt;"",ISNUMBER(U179),OR(AND(K179&lt;&gt;"Not required",L179&lt;&gt;"Not required"),V179&lt;&gt;""),P179&lt;&gt;"Rolled back"),"Yes","No")</f>
        <v/>
      </c>
      <c r="Y179" s="15">
        <f>IF(X179="Yes","Completed",IF(H179="","No deadline",IF(NOT(ISNUMBER(H179)),"Check date",IF(H179&lt;Overview!$I$3,"Overdue",IF(H179&lt;=Overview!$I$3+7,"Due soon","On track")))))</f>
        <v/>
      </c>
      <c r="Z179" s="37">
        <f>IF(AND(X179&lt;&gt;"Yes",ISNUMBER(H179)),MAX(0,Overview!$I$3-H179),0)</f>
        <v/>
      </c>
      <c r="AA179" s="5" t="inlineStr">
        <is>
          <t>HR</t>
        </is>
      </c>
      <c r="AB179" t="inlineStr">
        <is>
          <t>/school/recruitment</t>
        </is>
      </c>
    </row>
    <row r="180" ht="35" customHeight="1">
      <c r="A180" s="2" t="inlineStr">
        <is>
          <t>SCR-174</t>
        </is>
      </c>
      <c r="B180" s="5" t="inlineStr">
        <is>
          <t>Candidate Applications</t>
        </is>
      </c>
      <c r="C180" s="5" t="inlineStr">
        <is>
          <t>HR / Leave / Payroll</t>
        </is>
      </c>
      <c r="D180" s="2" t="inlineStr">
        <is>
          <t>Phase 2</t>
        </is>
      </c>
      <c r="E180" s="2" t="inlineStr">
        <is>
          <t>US-0347, US-0348</t>
        </is>
      </c>
      <c r="F180" s="24" t="n"/>
      <c r="G180" s="24" t="n"/>
      <c r="H180" s="32" t="n"/>
      <c r="I180" s="2" t="inlineStr">
        <is>
          <t>Ready</t>
        </is>
      </c>
      <c r="J180" s="33" t="inlineStr">
        <is>
          <t>Done</t>
        </is>
      </c>
      <c r="K180" s="33" t="inlineStr">
        <is>
          <t>Done</t>
        </is>
      </c>
      <c r="L180" s="24" t="inlineStr">
        <is>
          <t>Not assessed</t>
        </is>
      </c>
      <c r="M180" s="24" t="inlineStr">
        <is>
          <t>Not assessed</t>
        </is>
      </c>
      <c r="N180" s="24" t="inlineStr">
        <is>
          <t>Not assessed</t>
        </is>
      </c>
      <c r="O180" s="35" t="n"/>
      <c r="P180" s="24" t="inlineStr">
        <is>
          <t>Not scheduled</t>
        </is>
      </c>
      <c r="Q180" s="24" t="n"/>
      <c r="R180" s="24" t="inlineStr">
        <is>
          <t>Opening and stage filters with moves</t>
        </is>
      </c>
      <c r="S180" s="24" t="n"/>
      <c r="T180" s="24" t="n"/>
      <c r="U180" s="36" t="n">
        <v>46285</v>
      </c>
      <c r="V180" s="24" t="n"/>
      <c r="W180" s="15">
        <f>IF(P180="Production",IF(X180="Yes","Released","Review release"),IF(P180="Rolled back","Rolled back",IF(OR(Q180&lt;&gt;"",COUNTIFS(J180:N180,"Blocked")&gt;0),"Blocked",IF(OR(M180="Failed",N180="Rejected",AND(ISNUMBER(O180),O180&gt;0)),"Rework",IF(X180="Yes","Ready for release",IF(N180="Accepted","Verify completion",IF(OR(M180="Passed",M180="In progress",N180="In review"),"Testing / review",IF(OR(COUNTIFS(J180:L180,"In progress")&gt;0,COUNTIFS(J180:L180,"In review")&gt;0,COUNTIFS(J180:L180,"Done")&gt;0),"In progress",IF(COUNTIFS(J180:N180,"Not assessed")=5,"Not assessed","Planned")))))))))</f>
        <v/>
      </c>
      <c r="X180" s="15">
        <f>IF(AND(J180="Done",OR(K180="Done",K180="Not required"),OR(L180="Done",L180="Not required"),M180="Passed",N180="Accepted",ISNUMBER(O180),O180=0,Q180="",F180&lt;&gt;"",S180&lt;&gt;"",T180&lt;&gt;"",ISNUMBER(U180),OR(AND(K180&lt;&gt;"Not required",L180&lt;&gt;"Not required"),V180&lt;&gt;""),P180&lt;&gt;"Rolled back"),"Yes","No")</f>
        <v/>
      </c>
      <c r="Y180" s="15">
        <f>IF(X180="Yes","Completed",IF(H180="","No deadline",IF(NOT(ISNUMBER(H180)),"Check date",IF(H180&lt;Overview!$I$3,"Overdue",IF(H180&lt;=Overview!$I$3+7,"Due soon","On track")))))</f>
        <v/>
      </c>
      <c r="Z180" s="37">
        <f>IF(AND(X180&lt;&gt;"Yes",ISNUMBER(H180)),MAX(0,Overview!$I$3-H180),0)</f>
        <v/>
      </c>
      <c r="AA180" s="5" t="inlineStr">
        <is>
          <t>HR</t>
        </is>
      </c>
      <c r="AB180" t="inlineStr">
        <is>
          <t>/school/recruitment</t>
        </is>
      </c>
    </row>
    <row r="181" ht="35" customHeight="1">
      <c r="A181" s="2" t="inlineStr">
        <is>
          <t>SCR-175</t>
        </is>
      </c>
      <c r="B181" s="5" t="inlineStr">
        <is>
          <t>Candidate Details</t>
        </is>
      </c>
      <c r="C181" s="5" t="inlineStr">
        <is>
          <t>HR / Leave / Payroll</t>
        </is>
      </c>
      <c r="D181" s="2" t="inlineStr">
        <is>
          <t>Phase 2</t>
        </is>
      </c>
      <c r="E181" s="2" t="inlineStr">
        <is>
          <t>US-0349, US-0350</t>
        </is>
      </c>
      <c r="F181" s="24" t="n"/>
      <c r="G181" s="24" t="n"/>
      <c r="H181" s="32" t="n"/>
      <c r="I181" s="2" t="inlineStr">
        <is>
          <t>Ready</t>
        </is>
      </c>
      <c r="J181" s="33" t="inlineStr">
        <is>
          <t>Done</t>
        </is>
      </c>
      <c r="K181" s="33" t="inlineStr">
        <is>
          <t>Done</t>
        </is>
      </c>
      <c r="L181" s="24" t="inlineStr">
        <is>
          <t>Not assessed</t>
        </is>
      </c>
      <c r="M181" s="24" t="inlineStr">
        <is>
          <t>Not assessed</t>
        </is>
      </c>
      <c r="N181" s="24" t="inlineStr">
        <is>
          <t>Not assessed</t>
        </is>
      </c>
      <c r="O181" s="35" t="n"/>
      <c r="P181" s="24" t="inlineStr">
        <is>
          <t>Not scheduled</t>
        </is>
      </c>
      <c r="Q181" s="24" t="n"/>
      <c r="R181" s="24" t="inlineStr">
        <is>
          <t>Candidate detail in a modal only (in a tab, complete)</t>
        </is>
      </c>
      <c r="S181" s="24" t="n"/>
      <c r="T181" s="24" t="n"/>
      <c r="U181" s="36" t="n">
        <v>46285</v>
      </c>
      <c r="V181" s="24" t="n"/>
      <c r="W181" s="15">
        <f>IF(P181="Production",IF(X181="Yes","Released","Review release"),IF(P181="Rolled back","Rolled back",IF(OR(Q181&lt;&gt;"",COUNTIFS(J181:N181,"Blocked")&gt;0),"Blocked",IF(OR(M181="Failed",N181="Rejected",AND(ISNUMBER(O181),O181&gt;0)),"Rework",IF(X181="Yes","Ready for release",IF(N181="Accepted","Verify completion",IF(OR(M181="Passed",M181="In progress",N181="In review"),"Testing / review",IF(OR(COUNTIFS(J181:L181,"In progress")&gt;0,COUNTIFS(J181:L181,"In review")&gt;0,COUNTIFS(J181:L181,"Done")&gt;0),"In progress",IF(COUNTIFS(J181:N181,"Not assessed")=5,"Not assessed","Planned")))))))))</f>
        <v/>
      </c>
      <c r="X181" s="15">
        <f>IF(AND(J181="Done",OR(K181="Done",K181="Not required"),OR(L181="Done",L181="Not required"),M181="Passed",N181="Accepted",ISNUMBER(O181),O181=0,Q181="",F181&lt;&gt;"",S181&lt;&gt;"",T181&lt;&gt;"",ISNUMBER(U181),OR(AND(K181&lt;&gt;"Not required",L181&lt;&gt;"Not required"),V181&lt;&gt;""),P181&lt;&gt;"Rolled back"),"Yes","No")</f>
        <v/>
      </c>
      <c r="Y181" s="15">
        <f>IF(X181="Yes","Completed",IF(H181="","No deadline",IF(NOT(ISNUMBER(H181)),"Check date",IF(H181&lt;Overview!$I$3,"Overdue",IF(H181&lt;=Overview!$I$3+7,"Due soon","On track")))))</f>
        <v/>
      </c>
      <c r="Z181" s="37">
        <f>IF(AND(X181&lt;&gt;"Yes",ISNUMBER(H181)),MAX(0,Overview!$I$3-H181),0)</f>
        <v/>
      </c>
      <c r="AA181" s="5" t="inlineStr">
        <is>
          <t>HR</t>
        </is>
      </c>
      <c r="AB181" t="inlineStr">
        <is>
          <t>/school/recruitment</t>
        </is>
      </c>
    </row>
    <row r="182" ht="35" customHeight="1">
      <c r="A182" s="2" t="inlineStr">
        <is>
          <t>SCR-176</t>
        </is>
      </c>
      <c r="B182" s="5" t="inlineStr">
        <is>
          <t>Interview Schedule</t>
        </is>
      </c>
      <c r="C182" s="5" t="inlineStr">
        <is>
          <t>HR / Leave / Payroll</t>
        </is>
      </c>
      <c r="D182" s="2" t="inlineStr">
        <is>
          <t>Phase 2</t>
        </is>
      </c>
      <c r="E182" s="2" t="inlineStr">
        <is>
          <t>US-0351, US-0352</t>
        </is>
      </c>
      <c r="F182" s="24" t="n"/>
      <c r="G182" s="24" t="n"/>
      <c r="H182" s="32" t="n"/>
      <c r="I182" s="2" t="inlineStr">
        <is>
          <t>Ready</t>
        </is>
      </c>
      <c r="J182" s="38" t="inlineStr">
        <is>
          <t>In progress</t>
        </is>
      </c>
      <c r="K182" s="33" t="inlineStr">
        <is>
          <t>Done</t>
        </is>
      </c>
      <c r="L182" s="24" t="inlineStr">
        <is>
          <t>Not assessed</t>
        </is>
      </c>
      <c r="M182" s="24" t="inlineStr">
        <is>
          <t>Not assessed</t>
        </is>
      </c>
      <c r="N182" s="24" t="inlineStr">
        <is>
          <t>Not assessed</t>
        </is>
      </c>
      <c r="O182" s="35" t="n"/>
      <c r="P182" s="24" t="inlineStr">
        <is>
          <t>Not scheduled</t>
        </is>
      </c>
      <c r="Q182" s="24" t="n"/>
      <c r="R182" s="24" t="inlineStr">
        <is>
          <t>Per application; no interview calendar</t>
        </is>
      </c>
      <c r="S182" s="24" t="n"/>
      <c r="T182" s="24" t="n"/>
      <c r="U182" s="36" t="n">
        <v>46285</v>
      </c>
      <c r="V182" s="24" t="n"/>
      <c r="W182" s="15">
        <f>IF(P182="Production",IF(X182="Yes","Released","Review release"),IF(P182="Rolled back","Rolled back",IF(OR(Q182&lt;&gt;"",COUNTIFS(J182:N182,"Blocked")&gt;0),"Blocked",IF(OR(M182="Failed",N182="Rejected",AND(ISNUMBER(O182),O182&gt;0)),"Rework",IF(X182="Yes","Ready for release",IF(N182="Accepted","Verify completion",IF(OR(M182="Passed",M182="In progress",N182="In review"),"Testing / review",IF(OR(COUNTIFS(J182:L182,"In progress")&gt;0,COUNTIFS(J182:L182,"In review")&gt;0,COUNTIFS(J182:L182,"Done")&gt;0),"In progress",IF(COUNTIFS(J182:N182,"Not assessed")=5,"Not assessed","Planned")))))))))</f>
        <v/>
      </c>
      <c r="X182" s="15">
        <f>IF(AND(J182="Done",OR(K182="Done",K182="Not required"),OR(L182="Done",L182="Not required"),M182="Passed",N182="Accepted",ISNUMBER(O182),O182=0,Q182="",F182&lt;&gt;"",S182&lt;&gt;"",T182&lt;&gt;"",ISNUMBER(U182),OR(AND(K182&lt;&gt;"Not required",L182&lt;&gt;"Not required"),V182&lt;&gt;""),P182&lt;&gt;"Rolled back"),"Yes","No")</f>
        <v/>
      </c>
      <c r="Y182" s="15">
        <f>IF(X182="Yes","Completed",IF(H182="","No deadline",IF(NOT(ISNUMBER(H182)),"Check date",IF(H182&lt;Overview!$I$3,"Overdue",IF(H182&lt;=Overview!$I$3+7,"Due soon","On track")))))</f>
        <v/>
      </c>
      <c r="Z182" s="37">
        <f>IF(AND(X182&lt;&gt;"Yes",ISNUMBER(H182)),MAX(0,Overview!$I$3-H182),0)</f>
        <v/>
      </c>
      <c r="AA182" s="5" t="inlineStr">
        <is>
          <t>HR</t>
        </is>
      </c>
      <c r="AB182" t="inlineStr">
        <is>
          <t>/school/recruitment</t>
        </is>
      </c>
    </row>
    <row r="183" ht="35" customHeight="1">
      <c r="A183" s="2" t="inlineStr">
        <is>
          <t>SCR-177</t>
        </is>
      </c>
      <c r="B183" s="5" t="inlineStr">
        <is>
          <t>Offer &amp; Appointment</t>
        </is>
      </c>
      <c r="C183" s="5" t="inlineStr">
        <is>
          <t>HR / Leave / Payroll</t>
        </is>
      </c>
      <c r="D183" s="2" t="inlineStr">
        <is>
          <t>Phase 2</t>
        </is>
      </c>
      <c r="E183" s="2" t="inlineStr">
        <is>
          <t>US-0353, US-0354</t>
        </is>
      </c>
      <c r="F183" s="24" t="n"/>
      <c r="G183" s="24" t="n"/>
      <c r="H183" s="32" t="n"/>
      <c r="I183" s="2" t="inlineStr">
        <is>
          <t>Ready</t>
        </is>
      </c>
      <c r="J183" s="33" t="inlineStr">
        <is>
          <t>Done</t>
        </is>
      </c>
      <c r="K183" s="33" t="inlineStr">
        <is>
          <t>Done</t>
        </is>
      </c>
      <c r="L183" s="24" t="inlineStr">
        <is>
          <t>Not assessed</t>
        </is>
      </c>
      <c r="M183" s="24" t="inlineStr">
        <is>
          <t>Not assessed</t>
        </is>
      </c>
      <c r="N183" s="24" t="inlineStr">
        <is>
          <t>Not assessed</t>
        </is>
      </c>
      <c r="O183" s="35" t="n"/>
      <c r="P183" s="24" t="inlineStr">
        <is>
          <t>Not scheduled</t>
        </is>
      </c>
      <c r="Q183" s="24" t="n"/>
      <c r="R183" s="24" t="inlineStr">
        <is>
          <t>Draft, send, respond, hire creates staff</t>
        </is>
      </c>
      <c r="S183" s="24" t="n"/>
      <c r="T183" s="24" t="n"/>
      <c r="U183" s="36" t="n">
        <v>46285</v>
      </c>
      <c r="V183" s="24" t="n"/>
      <c r="W183" s="15">
        <f>IF(P183="Production",IF(X183="Yes","Released","Review release"),IF(P183="Rolled back","Rolled back",IF(OR(Q183&lt;&gt;"",COUNTIFS(J183:N183,"Blocked")&gt;0),"Blocked",IF(OR(M183="Failed",N183="Rejected",AND(ISNUMBER(O183),O183&gt;0)),"Rework",IF(X183="Yes","Ready for release",IF(N183="Accepted","Verify completion",IF(OR(M183="Passed",M183="In progress",N183="In review"),"Testing / review",IF(OR(COUNTIFS(J183:L183,"In progress")&gt;0,COUNTIFS(J183:L183,"In review")&gt;0,COUNTIFS(J183:L183,"Done")&gt;0),"In progress",IF(COUNTIFS(J183:N183,"Not assessed")=5,"Not assessed","Planned")))))))))</f>
        <v/>
      </c>
      <c r="X183" s="15">
        <f>IF(AND(J183="Done",OR(K183="Done",K183="Not required"),OR(L183="Done",L183="Not required"),M183="Passed",N183="Accepted",ISNUMBER(O183),O183=0,Q183="",F183&lt;&gt;"",S183&lt;&gt;"",T183&lt;&gt;"",ISNUMBER(U183),OR(AND(K183&lt;&gt;"Not required",L183&lt;&gt;"Not required"),V183&lt;&gt;""),P183&lt;&gt;"Rolled back"),"Yes","No")</f>
        <v/>
      </c>
      <c r="Y183" s="15">
        <f>IF(X183="Yes","Completed",IF(H183="","No deadline",IF(NOT(ISNUMBER(H183)),"Check date",IF(H183&lt;Overview!$I$3,"Overdue",IF(H183&lt;=Overview!$I$3+7,"Due soon","On track")))))</f>
        <v/>
      </c>
      <c r="Z183" s="37">
        <f>IF(AND(X183&lt;&gt;"Yes",ISNUMBER(H183)),MAX(0,Overview!$I$3-H183),0)</f>
        <v/>
      </c>
      <c r="AA183" s="5" t="inlineStr">
        <is>
          <t>HR</t>
        </is>
      </c>
      <c r="AB183" t="inlineStr">
        <is>
          <t>/school/recruitment</t>
        </is>
      </c>
    </row>
    <row r="184" ht="35" customHeight="1">
      <c r="A184" s="2" t="inlineStr">
        <is>
          <t>SCR-178</t>
        </is>
      </c>
      <c r="B184" s="5" t="inlineStr">
        <is>
          <t>Employee Onboarding Checklist</t>
        </is>
      </c>
      <c r="C184" s="5" t="inlineStr">
        <is>
          <t>HR / Leave / Payroll</t>
        </is>
      </c>
      <c r="D184" s="2" t="inlineStr">
        <is>
          <t>Phase 2</t>
        </is>
      </c>
      <c r="E184" s="2" t="inlineStr">
        <is>
          <t>US-0355, US-0356</t>
        </is>
      </c>
      <c r="F184" s="24" t="n"/>
      <c r="G184" s="24" t="n"/>
      <c r="H184" s="32" t="n"/>
      <c r="I184" s="2" t="inlineStr">
        <is>
          <t>Ready</t>
        </is>
      </c>
      <c r="J184" s="39" t="inlineStr">
        <is>
          <t>Not started</t>
        </is>
      </c>
      <c r="K184" s="39" t="inlineStr">
        <is>
          <t>Not started</t>
        </is>
      </c>
      <c r="L184" s="24" t="inlineStr">
        <is>
          <t>Not assessed</t>
        </is>
      </c>
      <c r="M184" s="24" t="inlineStr">
        <is>
          <t>Not assessed</t>
        </is>
      </c>
      <c r="N184" s="24" t="inlineStr">
        <is>
          <t>Not assessed</t>
        </is>
      </c>
      <c r="O184" s="35" t="n"/>
      <c r="P184" s="24" t="inlineStr">
        <is>
          <t>Not scheduled</t>
        </is>
      </c>
      <c r="Q184" s="24" t="n"/>
      <c r="R184" s="24" t="inlineStr">
        <is>
          <t>No onboarding checklist anywhere</t>
        </is>
      </c>
      <c r="S184" s="24" t="n"/>
      <c r="T184" s="24" t="n"/>
      <c r="U184" s="36" t="n">
        <v>46285</v>
      </c>
      <c r="V184" s="24" t="n"/>
      <c r="W184" s="15">
        <f>IF(P184="Production",IF(X184="Yes","Released","Review release"),IF(P184="Rolled back","Rolled back",IF(OR(Q184&lt;&gt;"",COUNTIFS(J184:N184,"Blocked")&gt;0),"Blocked",IF(OR(M184="Failed",N184="Rejected",AND(ISNUMBER(O184),O184&gt;0)),"Rework",IF(X184="Yes","Ready for release",IF(N184="Accepted","Verify completion",IF(OR(M184="Passed",M184="In progress",N184="In review"),"Testing / review",IF(OR(COUNTIFS(J184:L184,"In progress")&gt;0,COUNTIFS(J184:L184,"In review")&gt;0,COUNTIFS(J184:L184,"Done")&gt;0),"In progress",IF(COUNTIFS(J184:N184,"Not assessed")=5,"Not assessed","Planned")))))))))</f>
        <v/>
      </c>
      <c r="X184" s="15">
        <f>IF(AND(J184="Done",OR(K184="Done",K184="Not required"),OR(L184="Done",L184="Not required"),M184="Passed",N184="Accepted",ISNUMBER(O184),O184=0,Q184="",F184&lt;&gt;"",S184&lt;&gt;"",T184&lt;&gt;"",ISNUMBER(U184),OR(AND(K184&lt;&gt;"Not required",L184&lt;&gt;"Not required"),V184&lt;&gt;""),P184&lt;&gt;"Rolled back"),"Yes","No")</f>
        <v/>
      </c>
      <c r="Y184" s="15">
        <f>IF(X184="Yes","Completed",IF(H184="","No deadline",IF(NOT(ISNUMBER(H184)),"Check date",IF(H184&lt;Overview!$I$3,"Overdue",IF(H184&lt;=Overview!$I$3+7,"Due soon","On track")))))</f>
        <v/>
      </c>
      <c r="Z184" s="37">
        <f>IF(AND(X184&lt;&gt;"Yes",ISNUMBER(H184)),MAX(0,Overview!$I$3-H184),0)</f>
        <v/>
      </c>
      <c r="AA184" s="5" t="inlineStr">
        <is>
          <t>HR</t>
        </is>
      </c>
      <c r="AB184" t="inlineStr">
        <is>
          <t>-</t>
        </is>
      </c>
    </row>
    <row r="185" ht="35" customHeight="1">
      <c r="A185" s="2" t="inlineStr">
        <is>
          <t>SCR-179</t>
        </is>
      </c>
      <c r="B185" s="5" t="inlineStr">
        <is>
          <t>Staff Attendance Management</t>
        </is>
      </c>
      <c r="C185" s="5" t="inlineStr">
        <is>
          <t>HR / Leave / Payroll</t>
        </is>
      </c>
      <c r="D185" s="2" t="inlineStr">
        <is>
          <t>Phase 3</t>
        </is>
      </c>
      <c r="E185" s="2" t="inlineStr">
        <is>
          <t>US-0357, US-0358</t>
        </is>
      </c>
      <c r="F185" s="24" t="n"/>
      <c r="G185" s="24" t="n"/>
      <c r="H185" s="32" t="n"/>
      <c r="I185" s="2" t="inlineStr">
        <is>
          <t>Ready</t>
        </is>
      </c>
      <c r="J185" s="33" t="inlineStr">
        <is>
          <t>Done</t>
        </is>
      </c>
      <c r="K185" s="33" t="inlineStr">
        <is>
          <t>Done</t>
        </is>
      </c>
      <c r="L185" s="24" t="inlineStr">
        <is>
          <t>Not assessed</t>
        </is>
      </c>
      <c r="M185" s="24" t="inlineStr">
        <is>
          <t>Not assessed</t>
        </is>
      </c>
      <c r="N185" s="24" t="inlineStr">
        <is>
          <t>Not assessed</t>
        </is>
      </c>
      <c r="O185" s="35" t="n"/>
      <c r="P185" s="24" t="inlineStr">
        <is>
          <t>Not scheduled</t>
        </is>
      </c>
      <c r="Q185" s="24" t="n"/>
      <c r="R185" s="24" t="inlineStr">
        <is>
          <t>Check in and out with override</t>
        </is>
      </c>
      <c r="S185" s="24" t="n"/>
      <c r="T185" s="24" t="n"/>
      <c r="U185" s="36" t="n">
        <v>46285</v>
      </c>
      <c r="V185" s="24" t="n"/>
      <c r="W185" s="15">
        <f>IF(P185="Production",IF(X185="Yes","Released","Review release"),IF(P185="Rolled back","Rolled back",IF(OR(Q185&lt;&gt;"",COUNTIFS(J185:N185,"Blocked")&gt;0),"Blocked",IF(OR(M185="Failed",N185="Rejected",AND(ISNUMBER(O185),O185&gt;0)),"Rework",IF(X185="Yes","Ready for release",IF(N185="Accepted","Verify completion",IF(OR(M185="Passed",M185="In progress",N185="In review"),"Testing / review",IF(OR(COUNTIFS(J185:L185,"In progress")&gt;0,COUNTIFS(J185:L185,"In review")&gt;0,COUNTIFS(J185:L185,"Done")&gt;0),"In progress",IF(COUNTIFS(J185:N185,"Not assessed")=5,"Not assessed","Planned")))))))))</f>
        <v/>
      </c>
      <c r="X185" s="15">
        <f>IF(AND(J185="Done",OR(K185="Done",K185="Not required"),OR(L185="Done",L185="Not required"),M185="Passed",N185="Accepted",ISNUMBER(O185),O185=0,Q185="",F185&lt;&gt;"",S185&lt;&gt;"",T185&lt;&gt;"",ISNUMBER(U185),OR(AND(K185&lt;&gt;"Not required",L185&lt;&gt;"Not required"),V185&lt;&gt;""),P185&lt;&gt;"Rolled back"),"Yes","No")</f>
        <v/>
      </c>
      <c r="Y185" s="15">
        <f>IF(X185="Yes","Completed",IF(H185="","No deadline",IF(NOT(ISNUMBER(H185)),"Check date",IF(H185&lt;Overview!$I$3,"Overdue",IF(H185&lt;=Overview!$I$3+7,"Due soon","On track")))))</f>
        <v/>
      </c>
      <c r="Z185" s="37">
        <f>IF(AND(X185&lt;&gt;"Yes",ISNUMBER(H185)),MAX(0,Overview!$I$3-H185),0)</f>
        <v/>
      </c>
      <c r="AA185" s="5" t="inlineStr">
        <is>
          <t>HR</t>
        </is>
      </c>
      <c r="AB185" t="inlineStr">
        <is>
          <t>/school/staff-attendance</t>
        </is>
      </c>
    </row>
    <row r="186" ht="35" customHeight="1">
      <c r="A186" s="2" t="inlineStr">
        <is>
          <t>SCR-180</t>
        </is>
      </c>
      <c r="B186" s="5" t="inlineStr">
        <is>
          <t>Leave Policies</t>
        </is>
      </c>
      <c r="C186" s="5" t="inlineStr">
        <is>
          <t>HR / Leave / Payroll</t>
        </is>
      </c>
      <c r="D186" s="2" t="inlineStr">
        <is>
          <t>Phase 3</t>
        </is>
      </c>
      <c r="E186" s="2" t="inlineStr">
        <is>
          <t>US-0359, US-0360</t>
        </is>
      </c>
      <c r="F186" s="24" t="n"/>
      <c r="G186" s="24" t="n"/>
      <c r="H186" s="32" t="n"/>
      <c r="I186" s="2" t="inlineStr">
        <is>
          <t>Ready</t>
        </is>
      </c>
      <c r="J186" s="33" t="inlineStr">
        <is>
          <t>Done</t>
        </is>
      </c>
      <c r="K186" s="33" t="inlineStr">
        <is>
          <t>Done</t>
        </is>
      </c>
      <c r="L186" s="24" t="inlineStr">
        <is>
          <t>Not assessed</t>
        </is>
      </c>
      <c r="M186" s="24" t="inlineStr">
        <is>
          <t>Not assessed</t>
        </is>
      </c>
      <c r="N186" s="24" t="inlineStr">
        <is>
          <t>Not assessed</t>
        </is>
      </c>
      <c r="O186" s="35" t="n"/>
      <c r="P186" s="24" t="inlineStr">
        <is>
          <t>Not scheduled</t>
        </is>
      </c>
      <c r="Q186" s="24" t="n"/>
      <c r="R186" s="24" t="inlineStr">
        <is>
          <t>Days, carry forward, paid, proof</t>
        </is>
      </c>
      <c r="S186" s="24" t="n"/>
      <c r="T186" s="24" t="n"/>
      <c r="U186" s="36" t="n">
        <v>46285</v>
      </c>
      <c r="V186" s="24" t="n"/>
      <c r="W186" s="15">
        <f>IF(P186="Production",IF(X186="Yes","Released","Review release"),IF(P186="Rolled back","Rolled back",IF(OR(Q186&lt;&gt;"",COUNTIFS(J186:N186,"Blocked")&gt;0),"Blocked",IF(OR(M186="Failed",N186="Rejected",AND(ISNUMBER(O186),O186&gt;0)),"Rework",IF(X186="Yes","Ready for release",IF(N186="Accepted","Verify completion",IF(OR(M186="Passed",M186="In progress",N186="In review"),"Testing / review",IF(OR(COUNTIFS(J186:L186,"In progress")&gt;0,COUNTIFS(J186:L186,"In review")&gt;0,COUNTIFS(J186:L186,"Done")&gt;0),"In progress",IF(COUNTIFS(J186:N186,"Not assessed")=5,"Not assessed","Planned")))))))))</f>
        <v/>
      </c>
      <c r="X186" s="15">
        <f>IF(AND(J186="Done",OR(K186="Done",K186="Not required"),OR(L186="Done",L186="Not required"),M186="Passed",N186="Accepted",ISNUMBER(O186),O186=0,Q186="",F186&lt;&gt;"",S186&lt;&gt;"",T186&lt;&gt;"",ISNUMBER(U186),OR(AND(K186&lt;&gt;"Not required",L186&lt;&gt;"Not required"),V186&lt;&gt;""),P186&lt;&gt;"Rolled back"),"Yes","No")</f>
        <v/>
      </c>
      <c r="Y186" s="15">
        <f>IF(X186="Yes","Completed",IF(H186="","No deadline",IF(NOT(ISNUMBER(H186)),"Check date",IF(H186&lt;Overview!$I$3,"Overdue",IF(H186&lt;=Overview!$I$3+7,"Due soon","On track")))))</f>
        <v/>
      </c>
      <c r="Z186" s="37">
        <f>IF(AND(X186&lt;&gt;"Yes",ISNUMBER(H186)),MAX(0,Overview!$I$3-H186),0)</f>
        <v/>
      </c>
      <c r="AA186" s="5" t="inlineStr">
        <is>
          <t>HR</t>
        </is>
      </c>
      <c r="AB186" t="inlineStr">
        <is>
          <t>/school/leave-entitlement</t>
        </is>
      </c>
    </row>
    <row r="187" ht="35" customHeight="1">
      <c r="A187" s="2" t="inlineStr">
        <is>
          <t>SCR-181</t>
        </is>
      </c>
      <c r="B187" s="5" t="inlineStr">
        <is>
          <t>Staff Leave Requests</t>
        </is>
      </c>
      <c r="C187" s="5" t="inlineStr">
        <is>
          <t>HR / Leave / Payroll</t>
        </is>
      </c>
      <c r="D187" s="2" t="inlineStr">
        <is>
          <t>Phase 3</t>
        </is>
      </c>
      <c r="E187" s="2" t="inlineStr">
        <is>
          <t>US-0361, US-0362</t>
        </is>
      </c>
      <c r="F187" s="24" t="n"/>
      <c r="G187" s="24" t="n"/>
      <c r="H187" s="32" t="n"/>
      <c r="I187" s="2" t="inlineStr">
        <is>
          <t>Ready</t>
        </is>
      </c>
      <c r="J187" s="33" t="inlineStr">
        <is>
          <t>Done</t>
        </is>
      </c>
      <c r="K187" s="33" t="inlineStr">
        <is>
          <t>Done</t>
        </is>
      </c>
      <c r="L187" s="24" t="inlineStr">
        <is>
          <t>Not assessed</t>
        </is>
      </c>
      <c r="M187" s="24" t="inlineStr">
        <is>
          <t>Not assessed</t>
        </is>
      </c>
      <c r="N187" s="24" t="inlineStr">
        <is>
          <t>Not assessed</t>
        </is>
      </c>
      <c r="O187" s="35" t="n"/>
      <c r="P187" s="24" t="inlineStr">
        <is>
          <t>Not scheduled</t>
        </is>
      </c>
      <c r="Q187" s="24" t="n"/>
      <c r="R187" s="24" t="inlineStr">
        <is>
          <t>Pending and history across staff</t>
        </is>
      </c>
      <c r="S187" s="24" t="n"/>
      <c r="T187" s="24" t="n"/>
      <c r="U187" s="36" t="n">
        <v>46285</v>
      </c>
      <c r="V187" s="24" t="n"/>
      <c r="W187" s="15">
        <f>IF(P187="Production",IF(X187="Yes","Released","Review release"),IF(P187="Rolled back","Rolled back",IF(OR(Q187&lt;&gt;"",COUNTIFS(J187:N187,"Blocked")&gt;0),"Blocked",IF(OR(M187="Failed",N187="Rejected",AND(ISNUMBER(O187),O187&gt;0)),"Rework",IF(X187="Yes","Ready for release",IF(N187="Accepted","Verify completion",IF(OR(M187="Passed",M187="In progress",N187="In review"),"Testing / review",IF(OR(COUNTIFS(J187:L187,"In progress")&gt;0,COUNTIFS(J187:L187,"In review")&gt;0,COUNTIFS(J187:L187,"Done")&gt;0),"In progress",IF(COUNTIFS(J187:N187,"Not assessed")=5,"Not assessed","Planned")))))))))</f>
        <v/>
      </c>
      <c r="X187" s="15">
        <f>IF(AND(J187="Done",OR(K187="Done",K187="Not required"),OR(L187="Done",L187="Not required"),M187="Passed",N187="Accepted",ISNUMBER(O187),O187=0,Q187="",F187&lt;&gt;"",S187&lt;&gt;"",T187&lt;&gt;"",ISNUMBER(U187),OR(AND(K187&lt;&gt;"Not required",L187&lt;&gt;"Not required"),V187&lt;&gt;""),P187&lt;&gt;"Rolled back"),"Yes","No")</f>
        <v/>
      </c>
      <c r="Y187" s="15">
        <f>IF(X187="Yes","Completed",IF(H187="","No deadline",IF(NOT(ISNUMBER(H187)),"Check date",IF(H187&lt;Overview!$I$3,"Overdue",IF(H187&lt;=Overview!$I$3+7,"Due soon","On track")))))</f>
        <v/>
      </c>
      <c r="Z187" s="37">
        <f>IF(AND(X187&lt;&gt;"Yes",ISNUMBER(H187)),MAX(0,Overview!$I$3-H187),0)</f>
        <v/>
      </c>
      <c r="AA187" s="5" t="inlineStr">
        <is>
          <t>HR</t>
        </is>
      </c>
      <c r="AB187" t="inlineStr">
        <is>
          <t>/school/staff-leaves</t>
        </is>
      </c>
    </row>
    <row r="188" ht="35" customHeight="1">
      <c r="A188" s="2" t="inlineStr">
        <is>
          <t>SCR-182</t>
        </is>
      </c>
      <c r="B188" s="5" t="inlineStr">
        <is>
          <t>Leave Approval</t>
        </is>
      </c>
      <c r="C188" s="5" t="inlineStr">
        <is>
          <t>HR / Leave / Payroll</t>
        </is>
      </c>
      <c r="D188" s="2" t="inlineStr">
        <is>
          <t>Phase 3</t>
        </is>
      </c>
      <c r="E188" s="2" t="inlineStr">
        <is>
          <t>US-0363, US-0364</t>
        </is>
      </c>
      <c r="F188" s="24" t="n"/>
      <c r="G188" s="24" t="n"/>
      <c r="H188" s="32" t="n"/>
      <c r="I188" s="2" t="inlineStr">
        <is>
          <t>Ready</t>
        </is>
      </c>
      <c r="J188" s="33" t="inlineStr">
        <is>
          <t>Done</t>
        </is>
      </c>
      <c r="K188" s="33" t="inlineStr">
        <is>
          <t>Done</t>
        </is>
      </c>
      <c r="L188" s="24" t="inlineStr">
        <is>
          <t>Not assessed</t>
        </is>
      </c>
      <c r="M188" s="24" t="inlineStr">
        <is>
          <t>Not assessed</t>
        </is>
      </c>
      <c r="N188" s="24" t="inlineStr">
        <is>
          <t>Not assessed</t>
        </is>
      </c>
      <c r="O188" s="35" t="n"/>
      <c r="P188" s="24" t="inlineStr">
        <is>
          <t>Not scheduled</t>
        </is>
      </c>
      <c r="Q188" s="24" t="n"/>
      <c r="R188" s="24" t="inlineStr">
        <is>
          <t>Decide on the list; no approver queue (in a tab, complete)</t>
        </is>
      </c>
      <c r="S188" s="24" t="n"/>
      <c r="T188" s="24" t="n"/>
      <c r="U188" s="36" t="n">
        <v>46285</v>
      </c>
      <c r="V188" s="24" t="n"/>
      <c r="W188" s="15">
        <f>IF(P188="Production",IF(X188="Yes","Released","Review release"),IF(P188="Rolled back","Rolled back",IF(OR(Q188&lt;&gt;"",COUNTIFS(J188:N188,"Blocked")&gt;0),"Blocked",IF(OR(M188="Failed",N188="Rejected",AND(ISNUMBER(O188),O188&gt;0)),"Rework",IF(X188="Yes","Ready for release",IF(N188="Accepted","Verify completion",IF(OR(M188="Passed",M188="In progress",N188="In review"),"Testing / review",IF(OR(COUNTIFS(J188:L188,"In progress")&gt;0,COUNTIFS(J188:L188,"In review")&gt;0,COUNTIFS(J188:L188,"Done")&gt;0),"In progress",IF(COUNTIFS(J188:N188,"Not assessed")=5,"Not assessed","Planned")))))))))</f>
        <v/>
      </c>
      <c r="X188" s="15">
        <f>IF(AND(J188="Done",OR(K188="Done",K188="Not required"),OR(L188="Done",L188="Not required"),M188="Passed",N188="Accepted",ISNUMBER(O188),O188=0,Q188="",F188&lt;&gt;"",S188&lt;&gt;"",T188&lt;&gt;"",ISNUMBER(U188),OR(AND(K188&lt;&gt;"Not required",L188&lt;&gt;"Not required"),V188&lt;&gt;""),P188&lt;&gt;"Rolled back"),"Yes","No")</f>
        <v/>
      </c>
      <c r="Y188" s="15">
        <f>IF(X188="Yes","Completed",IF(H188="","No deadline",IF(NOT(ISNUMBER(H188)),"Check date",IF(H188&lt;Overview!$I$3,"Overdue",IF(H188&lt;=Overview!$I$3+7,"Due soon","On track")))))</f>
        <v/>
      </c>
      <c r="Z188" s="37">
        <f>IF(AND(X188&lt;&gt;"Yes",ISNUMBER(H188)),MAX(0,Overview!$I$3-H188),0)</f>
        <v/>
      </c>
      <c r="AA188" s="5" t="inlineStr">
        <is>
          <t>HR</t>
        </is>
      </c>
      <c r="AB188" t="inlineStr">
        <is>
          <t>/school/staff-leaves</t>
        </is>
      </c>
    </row>
    <row r="189" ht="35" customHeight="1">
      <c r="A189" s="2" t="inlineStr">
        <is>
          <t>SCR-183</t>
        </is>
      </c>
      <c r="B189" s="5" t="inlineStr">
        <is>
          <t>Payroll Setup</t>
        </is>
      </c>
      <c r="C189" s="5" t="inlineStr">
        <is>
          <t>HR / Leave / Payroll</t>
        </is>
      </c>
      <c r="D189" s="2" t="inlineStr">
        <is>
          <t>Phase 3</t>
        </is>
      </c>
      <c r="E189" s="2" t="inlineStr">
        <is>
          <t>US-0365, US-0366</t>
        </is>
      </c>
      <c r="F189" s="24" t="n"/>
      <c r="G189" s="24" t="n"/>
      <c r="H189" s="32" t="n"/>
      <c r="I189" s="2" t="inlineStr">
        <is>
          <t>Ready</t>
        </is>
      </c>
      <c r="J189" s="33" t="inlineStr">
        <is>
          <t>Done</t>
        </is>
      </c>
      <c r="K189" s="33" t="inlineStr">
        <is>
          <t>Done</t>
        </is>
      </c>
      <c r="L189" s="24" t="inlineStr">
        <is>
          <t>Not assessed</t>
        </is>
      </c>
      <c r="M189" s="24" t="inlineStr">
        <is>
          <t>Not assessed</t>
        </is>
      </c>
      <c r="N189" s="24" t="inlineStr">
        <is>
          <t>Not assessed</t>
        </is>
      </c>
      <c r="O189" s="35" t="n"/>
      <c r="P189" s="24" t="inlineStr">
        <is>
          <t>Not scheduled</t>
        </is>
      </c>
      <c r="Q189" s="24" t="n"/>
      <c r="R189" s="24" t="inlineStr">
        <is>
          <t>Salary structure plus statutory rates</t>
        </is>
      </c>
      <c r="S189" s="24" t="n"/>
      <c r="T189" s="24" t="n"/>
      <c r="U189" s="36" t="n">
        <v>46285</v>
      </c>
      <c r="V189" s="24" t="n"/>
      <c r="W189" s="15">
        <f>IF(P189="Production",IF(X189="Yes","Released","Review release"),IF(P189="Rolled back","Rolled back",IF(OR(Q189&lt;&gt;"",COUNTIFS(J189:N189,"Blocked")&gt;0),"Blocked",IF(OR(M189="Failed",N189="Rejected",AND(ISNUMBER(O189),O189&gt;0)),"Rework",IF(X189="Yes","Ready for release",IF(N189="Accepted","Verify completion",IF(OR(M189="Passed",M189="In progress",N189="In review"),"Testing / review",IF(OR(COUNTIFS(J189:L189,"In progress")&gt;0,COUNTIFS(J189:L189,"In review")&gt;0,COUNTIFS(J189:L189,"Done")&gt;0),"In progress",IF(COUNTIFS(J189:N189,"Not assessed")=5,"Not assessed","Planned")))))))))</f>
        <v/>
      </c>
      <c r="X189" s="15">
        <f>IF(AND(J189="Done",OR(K189="Done",K189="Not required"),OR(L189="Done",L189="Not required"),M189="Passed",N189="Accepted",ISNUMBER(O189),O189=0,Q189="",F189&lt;&gt;"",S189&lt;&gt;"",T189&lt;&gt;"",ISNUMBER(U189),OR(AND(K189&lt;&gt;"Not required",L189&lt;&gt;"Not required"),V189&lt;&gt;""),P189&lt;&gt;"Rolled back"),"Yes","No")</f>
        <v/>
      </c>
      <c r="Y189" s="15">
        <f>IF(X189="Yes","Completed",IF(H189="","No deadline",IF(NOT(ISNUMBER(H189)),"Check date",IF(H189&lt;Overview!$I$3,"Overdue",IF(H189&lt;=Overview!$I$3+7,"Due soon","On track")))))</f>
        <v/>
      </c>
      <c r="Z189" s="37">
        <f>IF(AND(X189&lt;&gt;"Yes",ISNUMBER(H189)),MAX(0,Overview!$I$3-H189),0)</f>
        <v/>
      </c>
      <c r="AA189" s="5" t="inlineStr">
        <is>
          <t>HR</t>
        </is>
      </c>
      <c r="AB189" t="inlineStr">
        <is>
          <t>/school/payroll</t>
        </is>
      </c>
    </row>
    <row r="190" ht="35" customHeight="1">
      <c r="A190" s="2" t="inlineStr">
        <is>
          <t>SCR-184</t>
        </is>
      </c>
      <c r="B190" s="5" t="inlineStr">
        <is>
          <t>Payroll Processing</t>
        </is>
      </c>
      <c r="C190" s="5" t="inlineStr">
        <is>
          <t>HR / Leave / Payroll</t>
        </is>
      </c>
      <c r="D190" s="2" t="inlineStr">
        <is>
          <t>Phase 3</t>
        </is>
      </c>
      <c r="E190" s="2" t="inlineStr">
        <is>
          <t>US-0367, US-0368</t>
        </is>
      </c>
      <c r="F190" s="24" t="n"/>
      <c r="G190" s="24" t="n"/>
      <c r="H190" s="32" t="n"/>
      <c r="I190" s="2" t="inlineStr">
        <is>
          <t>Ready</t>
        </is>
      </c>
      <c r="J190" s="33" t="inlineStr">
        <is>
          <t>Done</t>
        </is>
      </c>
      <c r="K190" s="33" t="inlineStr">
        <is>
          <t>Done</t>
        </is>
      </c>
      <c r="L190" s="24" t="inlineStr">
        <is>
          <t>Not assessed</t>
        </is>
      </c>
      <c r="M190" s="24" t="inlineStr">
        <is>
          <t>Not assessed</t>
        </is>
      </c>
      <c r="N190" s="24" t="inlineStr">
        <is>
          <t>Not assessed</t>
        </is>
      </c>
      <c r="O190" s="35" t="n"/>
      <c r="P190" s="24" t="inlineStr">
        <is>
          <t>Not scheduled</t>
        </is>
      </c>
      <c r="Q190" s="24" t="n"/>
      <c r="R190" s="24" t="inlineStr">
        <is>
          <t>Recalculate, finalise, adjust, bank file</t>
        </is>
      </c>
      <c r="S190" s="24" t="n"/>
      <c r="T190" s="24" t="n"/>
      <c r="U190" s="36" t="n">
        <v>46285</v>
      </c>
      <c r="V190" s="24" t="n"/>
      <c r="W190" s="15">
        <f>IF(P190="Production",IF(X190="Yes","Released","Review release"),IF(P190="Rolled back","Rolled back",IF(OR(Q190&lt;&gt;"",COUNTIFS(J190:N190,"Blocked")&gt;0),"Blocked",IF(OR(M190="Failed",N190="Rejected",AND(ISNUMBER(O190),O190&gt;0)),"Rework",IF(X190="Yes","Ready for release",IF(N190="Accepted","Verify completion",IF(OR(M190="Passed",M190="In progress",N190="In review"),"Testing / review",IF(OR(COUNTIFS(J190:L190,"In progress")&gt;0,COUNTIFS(J190:L190,"In review")&gt;0,COUNTIFS(J190:L190,"Done")&gt;0),"In progress",IF(COUNTIFS(J190:N190,"Not assessed")=5,"Not assessed","Planned")))))))))</f>
        <v/>
      </c>
      <c r="X190" s="15">
        <f>IF(AND(J190="Done",OR(K190="Done",K190="Not required"),OR(L190="Done",L190="Not required"),M190="Passed",N190="Accepted",ISNUMBER(O190),O190=0,Q190="",F190&lt;&gt;"",S190&lt;&gt;"",T190&lt;&gt;"",ISNUMBER(U190),OR(AND(K190&lt;&gt;"Not required",L190&lt;&gt;"Not required"),V190&lt;&gt;""),P190&lt;&gt;"Rolled back"),"Yes","No")</f>
        <v/>
      </c>
      <c r="Y190" s="15">
        <f>IF(X190="Yes","Completed",IF(H190="","No deadline",IF(NOT(ISNUMBER(H190)),"Check date",IF(H190&lt;Overview!$I$3,"Overdue",IF(H190&lt;=Overview!$I$3+7,"Due soon","On track")))))</f>
        <v/>
      </c>
      <c r="Z190" s="37">
        <f>IF(AND(X190&lt;&gt;"Yes",ISNUMBER(H190)),MAX(0,Overview!$I$3-H190),0)</f>
        <v/>
      </c>
      <c r="AA190" s="5" t="inlineStr">
        <is>
          <t>HR</t>
        </is>
      </c>
      <c r="AB190" t="inlineStr">
        <is>
          <t>/school/payroll/runs/[id]</t>
        </is>
      </c>
    </row>
    <row r="191" ht="35" customHeight="1">
      <c r="A191" s="2" t="inlineStr">
        <is>
          <t>SCR-185</t>
        </is>
      </c>
      <c r="B191" s="5" t="inlineStr">
        <is>
          <t>Payslip &amp; Payroll History</t>
        </is>
      </c>
      <c r="C191" s="5" t="inlineStr">
        <is>
          <t>HR / Leave / Payroll</t>
        </is>
      </c>
      <c r="D191" s="2" t="inlineStr">
        <is>
          <t>Phase 3</t>
        </is>
      </c>
      <c r="E191" s="2" t="inlineStr">
        <is>
          <t>US-0369, US-0370</t>
        </is>
      </c>
      <c r="F191" s="24" t="n"/>
      <c r="G191" s="24" t="n"/>
      <c r="H191" s="32" t="n"/>
      <c r="I191" s="2" t="inlineStr">
        <is>
          <t>Ready</t>
        </is>
      </c>
      <c r="J191" s="33" t="inlineStr">
        <is>
          <t>Done</t>
        </is>
      </c>
      <c r="K191" s="33" t="inlineStr">
        <is>
          <t>Done</t>
        </is>
      </c>
      <c r="L191" s="24" t="inlineStr">
        <is>
          <t>Not assessed</t>
        </is>
      </c>
      <c r="M191" s="24" t="inlineStr">
        <is>
          <t>Not assessed</t>
        </is>
      </c>
      <c r="N191" s="24" t="inlineStr">
        <is>
          <t>Not assessed</t>
        </is>
      </c>
      <c r="O191" s="35" t="n"/>
      <c r="P191" s="24" t="inlineStr">
        <is>
          <t>Not scheduled</t>
        </is>
      </c>
      <c r="Q191" s="24" t="n"/>
      <c r="R191" s="24" t="inlineStr">
        <is>
          <t>Payslip PDF and month history</t>
        </is>
      </c>
      <c r="S191" s="24" t="n"/>
      <c r="T191" s="24" t="n"/>
      <c r="U191" s="36" t="n">
        <v>46285</v>
      </c>
      <c r="V191" s="24" t="n"/>
      <c r="W191" s="15">
        <f>IF(P191="Production",IF(X191="Yes","Released","Review release"),IF(P191="Rolled back","Rolled back",IF(OR(Q191&lt;&gt;"",COUNTIFS(J191:N191,"Blocked")&gt;0),"Blocked",IF(OR(M191="Failed",N191="Rejected",AND(ISNUMBER(O191),O191&gt;0)),"Rework",IF(X191="Yes","Ready for release",IF(N191="Accepted","Verify completion",IF(OR(M191="Passed",M191="In progress",N191="In review"),"Testing / review",IF(OR(COUNTIFS(J191:L191,"In progress")&gt;0,COUNTIFS(J191:L191,"In review")&gt;0,COUNTIFS(J191:L191,"Done")&gt;0),"In progress",IF(COUNTIFS(J191:N191,"Not assessed")=5,"Not assessed","Planned")))))))))</f>
        <v/>
      </c>
      <c r="X191" s="15">
        <f>IF(AND(J191="Done",OR(K191="Done",K191="Not required"),OR(L191="Done",L191="Not required"),M191="Passed",N191="Accepted",ISNUMBER(O191),O191=0,Q191="",F191&lt;&gt;"",S191&lt;&gt;"",T191&lt;&gt;"",ISNUMBER(U191),OR(AND(K191&lt;&gt;"Not required",L191&lt;&gt;"Not required"),V191&lt;&gt;""),P191&lt;&gt;"Rolled back"),"Yes","No")</f>
        <v/>
      </c>
      <c r="Y191" s="15">
        <f>IF(X191="Yes","Completed",IF(H191="","No deadline",IF(NOT(ISNUMBER(H191)),"Check date",IF(H191&lt;Overview!$I$3,"Overdue",IF(H191&lt;=Overview!$I$3+7,"Due soon","On track")))))</f>
        <v/>
      </c>
      <c r="Z191" s="37">
        <f>IF(AND(X191&lt;&gt;"Yes",ISNUMBER(H191)),MAX(0,Overview!$I$3-H191),0)</f>
        <v/>
      </c>
      <c r="AA191" s="5" t="inlineStr">
        <is>
          <t>HR</t>
        </is>
      </c>
      <c r="AB191" t="inlineStr">
        <is>
          <t>/school/payroll</t>
        </is>
      </c>
    </row>
    <row r="192" ht="35" customHeight="1">
      <c r="A192" s="2" t="inlineStr">
        <is>
          <t>SCR-186</t>
        </is>
      </c>
      <c r="B192" s="5" t="inlineStr">
        <is>
          <t>Vehicles</t>
        </is>
      </c>
      <c r="C192" s="5" t="inlineStr">
        <is>
          <t>Transport / Bus / GPS</t>
        </is>
      </c>
      <c r="D192" s="2" t="inlineStr">
        <is>
          <t>Phase 2</t>
        </is>
      </c>
      <c r="E192" s="2" t="inlineStr">
        <is>
          <t>US-0371, US-0372</t>
        </is>
      </c>
      <c r="F192" s="24" t="n"/>
      <c r="G192" s="24" t="n"/>
      <c r="H192" s="32" t="n"/>
      <c r="I192" s="2" t="inlineStr">
        <is>
          <t>Ready</t>
        </is>
      </c>
      <c r="J192" s="33" t="inlineStr">
        <is>
          <t>Done</t>
        </is>
      </c>
      <c r="K192" s="33" t="inlineStr">
        <is>
          <t>Done</t>
        </is>
      </c>
      <c r="L192" s="24" t="inlineStr">
        <is>
          <t>Not assessed</t>
        </is>
      </c>
      <c r="M192" s="24" t="inlineStr">
        <is>
          <t>Not assessed</t>
        </is>
      </c>
      <c r="N192" s="24" t="inlineStr">
        <is>
          <t>Not assessed</t>
        </is>
      </c>
      <c r="O192" s="35" t="n"/>
      <c r="P192" s="24" t="inlineStr">
        <is>
          <t>Not scheduled</t>
        </is>
      </c>
      <c r="Q192" s="24" t="n"/>
      <c r="R192" s="24" t="inlineStr">
        <is>
          <t>Fleet table with document expiry and CRUD</t>
        </is>
      </c>
      <c r="S192" s="24" t="n"/>
      <c r="T192" s="24" t="n"/>
      <c r="U192" s="36" t="n">
        <v>46285</v>
      </c>
      <c r="V192" s="24" t="n"/>
      <c r="W192" s="15">
        <f>IF(P192="Production",IF(X192="Yes","Released","Review release"),IF(P192="Rolled back","Rolled back",IF(OR(Q192&lt;&gt;"",COUNTIFS(J192:N192,"Blocked")&gt;0),"Blocked",IF(OR(M192="Failed",N192="Rejected",AND(ISNUMBER(O192),O192&gt;0)),"Rework",IF(X192="Yes","Ready for release",IF(N192="Accepted","Verify completion",IF(OR(M192="Passed",M192="In progress",N192="In review"),"Testing / review",IF(OR(COUNTIFS(J192:L192,"In progress")&gt;0,COUNTIFS(J192:L192,"In review")&gt;0,COUNTIFS(J192:L192,"Done")&gt;0),"In progress",IF(COUNTIFS(J192:N192,"Not assessed")=5,"Not assessed","Planned")))))))))</f>
        <v/>
      </c>
      <c r="X192" s="15">
        <f>IF(AND(J192="Done",OR(K192="Done",K192="Not required"),OR(L192="Done",L192="Not required"),M192="Passed",N192="Accepted",ISNUMBER(O192),O192=0,Q192="",F192&lt;&gt;"",S192&lt;&gt;"",T192&lt;&gt;"",ISNUMBER(U192),OR(AND(K192&lt;&gt;"Not required",L192&lt;&gt;"Not required"),V192&lt;&gt;""),P192&lt;&gt;"Rolled back"),"Yes","No")</f>
        <v/>
      </c>
      <c r="Y192" s="15">
        <f>IF(X192="Yes","Completed",IF(H192="","No deadline",IF(NOT(ISNUMBER(H192)),"Check date",IF(H192&lt;Overview!$I$3,"Overdue",IF(H192&lt;=Overview!$I$3+7,"Due soon","On track")))))</f>
        <v/>
      </c>
      <c r="Z192" s="37">
        <f>IF(AND(X192&lt;&gt;"Yes",ISNUMBER(H192)),MAX(0,Overview!$I$3-H192),0)</f>
        <v/>
      </c>
      <c r="AA192" s="5" t="inlineStr">
        <is>
          <t>Transport Manager</t>
        </is>
      </c>
      <c r="AB192" t="inlineStr">
        <is>
          <t>/school/transport/vehicles</t>
        </is>
      </c>
    </row>
    <row r="193" ht="35" customHeight="1">
      <c r="A193" s="2" t="inlineStr">
        <is>
          <t>SCR-187</t>
        </is>
      </c>
      <c r="B193" s="5" t="inlineStr">
        <is>
          <t>Add / Edit Vehicle</t>
        </is>
      </c>
      <c r="C193" s="5" t="inlineStr">
        <is>
          <t>Transport / Bus / GPS</t>
        </is>
      </c>
      <c r="D193" s="2" t="inlineStr">
        <is>
          <t>Phase 2</t>
        </is>
      </c>
      <c r="E193" s="2" t="inlineStr">
        <is>
          <t>US-0373, US-0374</t>
        </is>
      </c>
      <c r="F193" s="24" t="n"/>
      <c r="G193" s="24" t="n"/>
      <c r="H193" s="32" t="n"/>
      <c r="I193" s="2" t="inlineStr">
        <is>
          <t>Ready</t>
        </is>
      </c>
      <c r="J193" s="33" t="inlineStr">
        <is>
          <t>Done</t>
        </is>
      </c>
      <c r="K193" s="33" t="inlineStr">
        <is>
          <t>Done</t>
        </is>
      </c>
      <c r="L193" s="24" t="inlineStr">
        <is>
          <t>Not assessed</t>
        </is>
      </c>
      <c r="M193" s="24" t="inlineStr">
        <is>
          <t>Not assessed</t>
        </is>
      </c>
      <c r="N193" s="24" t="inlineStr">
        <is>
          <t>Not assessed</t>
        </is>
      </c>
      <c r="O193" s="35" t="n"/>
      <c r="P193" s="24" t="inlineStr">
        <is>
          <t>Not scheduled</t>
        </is>
      </c>
      <c r="Q193" s="24" t="n"/>
      <c r="R193" s="24" t="inlineStr">
        <is>
          <t>Create and edit with four document expiries</t>
        </is>
      </c>
      <c r="S193" s="24" t="n"/>
      <c r="T193" s="24" t="n"/>
      <c r="U193" s="36" t="n">
        <v>46285</v>
      </c>
      <c r="V193" s="24" t="n"/>
      <c r="W193" s="15">
        <f>IF(P193="Production",IF(X193="Yes","Released","Review release"),IF(P193="Rolled back","Rolled back",IF(OR(Q193&lt;&gt;"",COUNTIFS(J193:N193,"Blocked")&gt;0),"Blocked",IF(OR(M193="Failed",N193="Rejected",AND(ISNUMBER(O193),O193&gt;0)),"Rework",IF(X193="Yes","Ready for release",IF(N193="Accepted","Verify completion",IF(OR(M193="Passed",M193="In progress",N193="In review"),"Testing / review",IF(OR(COUNTIFS(J193:L193,"In progress")&gt;0,COUNTIFS(J193:L193,"In review")&gt;0,COUNTIFS(J193:L193,"Done")&gt;0),"In progress",IF(COUNTIFS(J193:N193,"Not assessed")=5,"Not assessed","Planned")))))))))</f>
        <v/>
      </c>
      <c r="X193" s="15">
        <f>IF(AND(J193="Done",OR(K193="Done",K193="Not required"),OR(L193="Done",L193="Not required"),M193="Passed",N193="Accepted",ISNUMBER(O193),O193=0,Q193="",F193&lt;&gt;"",S193&lt;&gt;"",T193&lt;&gt;"",ISNUMBER(U193),OR(AND(K193&lt;&gt;"Not required",L193&lt;&gt;"Not required"),V193&lt;&gt;""),P193&lt;&gt;"Rolled back"),"Yes","No")</f>
        <v/>
      </c>
      <c r="Y193" s="15">
        <f>IF(X193="Yes","Completed",IF(H193="","No deadline",IF(NOT(ISNUMBER(H193)),"Check date",IF(H193&lt;Overview!$I$3,"Overdue",IF(H193&lt;=Overview!$I$3+7,"Due soon","On track")))))</f>
        <v/>
      </c>
      <c r="Z193" s="37">
        <f>IF(AND(X193&lt;&gt;"Yes",ISNUMBER(H193)),MAX(0,Overview!$I$3-H193),0)</f>
        <v/>
      </c>
      <c r="AA193" s="5" t="inlineStr">
        <is>
          <t>Transport Manager</t>
        </is>
      </c>
      <c r="AB193" t="inlineStr">
        <is>
          <t>/school/transport/vehicles</t>
        </is>
      </c>
    </row>
    <row r="194" ht="35" customHeight="1">
      <c r="A194" s="2" t="inlineStr">
        <is>
          <t>SCR-188</t>
        </is>
      </c>
      <c r="B194" s="5" t="inlineStr">
        <is>
          <t>Vehicle Details</t>
        </is>
      </c>
      <c r="C194" s="5" t="inlineStr">
        <is>
          <t>Transport / Bus / GPS</t>
        </is>
      </c>
      <c r="D194" s="2" t="inlineStr">
        <is>
          <t>Phase 2</t>
        </is>
      </c>
      <c r="E194" s="2" t="inlineStr">
        <is>
          <t>US-0375, US-0376</t>
        </is>
      </c>
      <c r="F194" s="24" t="n"/>
      <c r="G194" s="24" t="n"/>
      <c r="H194" s="32" t="n"/>
      <c r="I194" s="2" t="inlineStr">
        <is>
          <t>Ready</t>
        </is>
      </c>
      <c r="J194" s="33" t="inlineStr">
        <is>
          <t>Done</t>
        </is>
      </c>
      <c r="K194" s="33" t="inlineStr">
        <is>
          <t>Done</t>
        </is>
      </c>
      <c r="L194" s="24" t="inlineStr">
        <is>
          <t>Not assessed</t>
        </is>
      </c>
      <c r="M194" s="24" t="inlineStr">
        <is>
          <t>Not assessed</t>
        </is>
      </c>
      <c r="N194" s="24" t="inlineStr">
        <is>
          <t>Not assessed</t>
        </is>
      </c>
      <c r="O194" s="35" t="n"/>
      <c r="P194" s="24" t="inlineStr">
        <is>
          <t>Not scheduled</t>
        </is>
      </c>
      <c r="Q194" s="24" t="n"/>
      <c r="R194" s="24" t="inlineStr">
        <is>
          <t>Expiries flagged, fuel and service log</t>
        </is>
      </c>
      <c r="S194" s="24" t="n"/>
      <c r="T194" s="24" t="n"/>
      <c r="U194" s="36" t="n">
        <v>46285</v>
      </c>
      <c r="V194" s="24" t="n"/>
      <c r="W194" s="15">
        <f>IF(P194="Production",IF(X194="Yes","Released","Review release"),IF(P194="Rolled back","Rolled back",IF(OR(Q194&lt;&gt;"",COUNTIFS(J194:N194,"Blocked")&gt;0),"Blocked",IF(OR(M194="Failed",N194="Rejected",AND(ISNUMBER(O194),O194&gt;0)),"Rework",IF(X194="Yes","Ready for release",IF(N194="Accepted","Verify completion",IF(OR(M194="Passed",M194="In progress",N194="In review"),"Testing / review",IF(OR(COUNTIFS(J194:L194,"In progress")&gt;0,COUNTIFS(J194:L194,"In review")&gt;0,COUNTIFS(J194:L194,"Done")&gt;0),"In progress",IF(COUNTIFS(J194:N194,"Not assessed")=5,"Not assessed","Planned")))))))))</f>
        <v/>
      </c>
      <c r="X194" s="15">
        <f>IF(AND(J194="Done",OR(K194="Done",K194="Not required"),OR(L194="Done",L194="Not required"),M194="Passed",N194="Accepted",ISNUMBER(O194),O194=0,Q194="",F194&lt;&gt;"",S194&lt;&gt;"",T194&lt;&gt;"",ISNUMBER(U194),OR(AND(K194&lt;&gt;"Not required",L194&lt;&gt;"Not required"),V194&lt;&gt;""),P194&lt;&gt;"Rolled back"),"Yes","No")</f>
        <v/>
      </c>
      <c r="Y194" s="15">
        <f>IF(X194="Yes","Completed",IF(H194="","No deadline",IF(NOT(ISNUMBER(H194)),"Check date",IF(H194&lt;Overview!$I$3,"Overdue",IF(H194&lt;=Overview!$I$3+7,"Due soon","On track")))))</f>
        <v/>
      </c>
      <c r="Z194" s="37">
        <f>IF(AND(X194&lt;&gt;"Yes",ISNUMBER(H194)),MAX(0,Overview!$I$3-H194),0)</f>
        <v/>
      </c>
      <c r="AA194" s="5" t="inlineStr">
        <is>
          <t>Transport Manager</t>
        </is>
      </c>
      <c r="AB194" t="inlineStr">
        <is>
          <t>/school/transport/vehicles/[id]</t>
        </is>
      </c>
    </row>
    <row r="195" ht="35" customHeight="1">
      <c r="A195" s="2" t="inlineStr">
        <is>
          <t>SCR-189</t>
        </is>
      </c>
      <c r="B195" s="5" t="inlineStr">
        <is>
          <t>Routes</t>
        </is>
      </c>
      <c r="C195" s="5" t="inlineStr">
        <is>
          <t>Transport / Bus / GPS</t>
        </is>
      </c>
      <c r="D195" s="2" t="inlineStr">
        <is>
          <t>Phase 2</t>
        </is>
      </c>
      <c r="E195" s="2" t="inlineStr">
        <is>
          <t>US-0377, US-0378</t>
        </is>
      </c>
      <c r="F195" s="24" t="n"/>
      <c r="G195" s="24" t="n"/>
      <c r="H195" s="32" t="n"/>
      <c r="I195" s="2" t="inlineStr">
        <is>
          <t>Ready</t>
        </is>
      </c>
      <c r="J195" s="33" t="inlineStr">
        <is>
          <t>Done</t>
        </is>
      </c>
      <c r="K195" s="33" t="inlineStr">
        <is>
          <t>Done</t>
        </is>
      </c>
      <c r="L195" s="24" t="inlineStr">
        <is>
          <t>Not assessed</t>
        </is>
      </c>
      <c r="M195" s="24" t="inlineStr">
        <is>
          <t>Not assessed</t>
        </is>
      </c>
      <c r="N195" s="24" t="inlineStr">
        <is>
          <t>Not assessed</t>
        </is>
      </c>
      <c r="O195" s="35" t="n"/>
      <c r="P195" s="24" t="inlineStr">
        <is>
          <t>Not scheduled</t>
        </is>
      </c>
      <c r="Q195" s="24" t="n"/>
      <c r="R195" s="24" t="inlineStr">
        <is>
          <t>Route cards with stop table</t>
        </is>
      </c>
      <c r="S195" s="24" t="n"/>
      <c r="T195" s="24" t="n"/>
      <c r="U195" s="36" t="n">
        <v>46285</v>
      </c>
      <c r="V195" s="24" t="n"/>
      <c r="W195" s="15">
        <f>IF(P195="Production",IF(X195="Yes","Released","Review release"),IF(P195="Rolled back","Rolled back",IF(OR(Q195&lt;&gt;"",COUNTIFS(J195:N195,"Blocked")&gt;0),"Blocked",IF(OR(M195="Failed",N195="Rejected",AND(ISNUMBER(O195),O195&gt;0)),"Rework",IF(X195="Yes","Ready for release",IF(N195="Accepted","Verify completion",IF(OR(M195="Passed",M195="In progress",N195="In review"),"Testing / review",IF(OR(COUNTIFS(J195:L195,"In progress")&gt;0,COUNTIFS(J195:L195,"In review")&gt;0,COUNTIFS(J195:L195,"Done")&gt;0),"In progress",IF(COUNTIFS(J195:N195,"Not assessed")=5,"Not assessed","Planned")))))))))</f>
        <v/>
      </c>
      <c r="X195" s="15">
        <f>IF(AND(J195="Done",OR(K195="Done",K195="Not required"),OR(L195="Done",L195="Not required"),M195="Passed",N195="Accepted",ISNUMBER(O195),O195=0,Q195="",F195&lt;&gt;"",S195&lt;&gt;"",T195&lt;&gt;"",ISNUMBER(U195),OR(AND(K195&lt;&gt;"Not required",L195&lt;&gt;"Not required"),V195&lt;&gt;""),P195&lt;&gt;"Rolled back"),"Yes","No")</f>
        <v/>
      </c>
      <c r="Y195" s="15">
        <f>IF(X195="Yes","Completed",IF(H195="","No deadline",IF(NOT(ISNUMBER(H195)),"Check date",IF(H195&lt;Overview!$I$3,"Overdue",IF(H195&lt;=Overview!$I$3+7,"Due soon","On track")))))</f>
        <v/>
      </c>
      <c r="Z195" s="37">
        <f>IF(AND(X195&lt;&gt;"Yes",ISNUMBER(H195)),MAX(0,Overview!$I$3-H195),0)</f>
        <v/>
      </c>
      <c r="AA195" s="5" t="inlineStr">
        <is>
          <t>Transport Manager</t>
        </is>
      </c>
      <c r="AB195" t="inlineStr">
        <is>
          <t>/school/transport/routes</t>
        </is>
      </c>
    </row>
    <row r="196" ht="35" customHeight="1">
      <c r="A196" s="2" t="inlineStr">
        <is>
          <t>SCR-190</t>
        </is>
      </c>
      <c r="B196" s="5" t="inlineStr">
        <is>
          <t>Create / Edit Route</t>
        </is>
      </c>
      <c r="C196" s="5" t="inlineStr">
        <is>
          <t>Transport / Bus / GPS</t>
        </is>
      </c>
      <c r="D196" s="2" t="inlineStr">
        <is>
          <t>Phase 2</t>
        </is>
      </c>
      <c r="E196" s="2" t="inlineStr">
        <is>
          <t>US-0379, US-0380</t>
        </is>
      </c>
      <c r="F196" s="24" t="n"/>
      <c r="G196" s="24" t="n"/>
      <c r="H196" s="32" t="n"/>
      <c r="I196" s="2" t="inlineStr">
        <is>
          <t>Ready</t>
        </is>
      </c>
      <c r="J196" s="33" t="inlineStr">
        <is>
          <t>Done</t>
        </is>
      </c>
      <c r="K196" s="33" t="inlineStr">
        <is>
          <t>Done</t>
        </is>
      </c>
      <c r="L196" s="24" t="inlineStr">
        <is>
          <t>Not assessed</t>
        </is>
      </c>
      <c r="M196" s="24" t="inlineStr">
        <is>
          <t>Not assessed</t>
        </is>
      </c>
      <c r="N196" s="24" t="inlineStr">
        <is>
          <t>Not assessed</t>
        </is>
      </c>
      <c r="O196" s="35" t="n"/>
      <c r="P196" s="24" t="inlineStr">
        <is>
          <t>Not scheduled</t>
        </is>
      </c>
      <c r="Q196" s="24" t="n"/>
      <c r="R196" s="24" t="inlineStr">
        <is>
          <t>Route editor with reorderable stops</t>
        </is>
      </c>
      <c r="S196" s="24" t="n"/>
      <c r="T196" s="24" t="n"/>
      <c r="U196" s="36" t="n">
        <v>46285</v>
      </c>
      <c r="V196" s="24" t="n"/>
      <c r="W196" s="15">
        <f>IF(P196="Production",IF(X196="Yes","Released","Review release"),IF(P196="Rolled back","Rolled back",IF(OR(Q196&lt;&gt;"",COUNTIFS(J196:N196,"Blocked")&gt;0),"Blocked",IF(OR(M196="Failed",N196="Rejected",AND(ISNUMBER(O196),O196&gt;0)),"Rework",IF(X196="Yes","Ready for release",IF(N196="Accepted","Verify completion",IF(OR(M196="Passed",M196="In progress",N196="In review"),"Testing / review",IF(OR(COUNTIFS(J196:L196,"In progress")&gt;0,COUNTIFS(J196:L196,"In review")&gt;0,COUNTIFS(J196:L196,"Done")&gt;0),"In progress",IF(COUNTIFS(J196:N196,"Not assessed")=5,"Not assessed","Planned")))))))))</f>
        <v/>
      </c>
      <c r="X196" s="15">
        <f>IF(AND(J196="Done",OR(K196="Done",K196="Not required"),OR(L196="Done",L196="Not required"),M196="Passed",N196="Accepted",ISNUMBER(O196),O196=0,Q196="",F196&lt;&gt;"",S196&lt;&gt;"",T196&lt;&gt;"",ISNUMBER(U196),OR(AND(K196&lt;&gt;"Not required",L196&lt;&gt;"Not required"),V196&lt;&gt;""),P196&lt;&gt;"Rolled back"),"Yes","No")</f>
        <v/>
      </c>
      <c r="Y196" s="15">
        <f>IF(X196="Yes","Completed",IF(H196="","No deadline",IF(NOT(ISNUMBER(H196)),"Check date",IF(H196&lt;Overview!$I$3,"Overdue",IF(H196&lt;=Overview!$I$3+7,"Due soon","On track")))))</f>
        <v/>
      </c>
      <c r="Z196" s="37">
        <f>IF(AND(X196&lt;&gt;"Yes",ISNUMBER(H196)),MAX(0,Overview!$I$3-H196),0)</f>
        <v/>
      </c>
      <c r="AA196" s="5" t="inlineStr">
        <is>
          <t>Transport Manager</t>
        </is>
      </c>
      <c r="AB196" t="inlineStr">
        <is>
          <t>/school/transport/routes</t>
        </is>
      </c>
    </row>
    <row r="197" ht="35" customHeight="1">
      <c r="A197" s="2" t="inlineStr">
        <is>
          <t>SCR-191</t>
        </is>
      </c>
      <c r="B197" s="5" t="inlineStr">
        <is>
          <t>Stops</t>
        </is>
      </c>
      <c r="C197" s="5" t="inlineStr">
        <is>
          <t>Transport / Bus / GPS</t>
        </is>
      </c>
      <c r="D197" s="2" t="inlineStr">
        <is>
          <t>Phase 2</t>
        </is>
      </c>
      <c r="E197" s="2" t="inlineStr">
        <is>
          <t>US-0381, US-0382</t>
        </is>
      </c>
      <c r="F197" s="24" t="n"/>
      <c r="G197" s="24" t="n"/>
      <c r="H197" s="32" t="n"/>
      <c r="I197" s="2" t="inlineStr">
        <is>
          <t>Ready</t>
        </is>
      </c>
      <c r="J197" s="33" t="inlineStr">
        <is>
          <t>Done</t>
        </is>
      </c>
      <c r="K197" s="33" t="inlineStr">
        <is>
          <t>Done</t>
        </is>
      </c>
      <c r="L197" s="24" t="inlineStr">
        <is>
          <t>Not assessed</t>
        </is>
      </c>
      <c r="M197" s="24" t="inlineStr">
        <is>
          <t>Not assessed</t>
        </is>
      </c>
      <c r="N197" s="24" t="inlineStr">
        <is>
          <t>Not assessed</t>
        </is>
      </c>
      <c r="O197" s="35" t="n"/>
      <c r="P197" s="24" t="inlineStr">
        <is>
          <t>Not scheduled</t>
        </is>
      </c>
      <c r="Q197" s="24" t="n"/>
      <c r="R197" s="24" t="inlineStr">
        <is>
          <t>Stops in order with times, and the riders</t>
        </is>
      </c>
      <c r="S197" s="24" t="n"/>
      <c r="T197" s="24" t="n"/>
      <c r="U197" s="36" t="n">
        <v>46285</v>
      </c>
      <c r="V197" s="24" t="n"/>
      <c r="W197" s="15">
        <f>IF(P197="Production",IF(X197="Yes","Released","Review release"),IF(P197="Rolled back","Rolled back",IF(OR(Q197&lt;&gt;"",COUNTIFS(J197:N197,"Blocked")&gt;0),"Blocked",IF(OR(M197="Failed",N197="Rejected",AND(ISNUMBER(O197),O197&gt;0)),"Rework",IF(X197="Yes","Ready for release",IF(N197="Accepted","Verify completion",IF(OR(M197="Passed",M197="In progress",N197="In review"),"Testing / review",IF(OR(COUNTIFS(J197:L197,"In progress")&gt;0,COUNTIFS(J197:L197,"In review")&gt;0,COUNTIFS(J197:L197,"Done")&gt;0),"In progress",IF(COUNTIFS(J197:N197,"Not assessed")=5,"Not assessed","Planned")))))))))</f>
        <v/>
      </c>
      <c r="X197" s="15">
        <f>IF(AND(J197="Done",OR(K197="Done",K197="Not required"),OR(L197="Done",L197="Not required"),M197="Passed",N197="Accepted",ISNUMBER(O197),O197=0,Q197="",F197&lt;&gt;"",S197&lt;&gt;"",T197&lt;&gt;"",ISNUMBER(U197),OR(AND(K197&lt;&gt;"Not required",L197&lt;&gt;"Not required"),V197&lt;&gt;""),P197&lt;&gt;"Rolled back"),"Yes","No")</f>
        <v/>
      </c>
      <c r="Y197" s="15">
        <f>IF(X197="Yes","Completed",IF(H197="","No deadline",IF(NOT(ISNUMBER(H197)),"Check date",IF(H197&lt;Overview!$I$3,"Overdue",IF(H197&lt;=Overview!$I$3+7,"Due soon","On track")))))</f>
        <v/>
      </c>
      <c r="Z197" s="37">
        <f>IF(AND(X197&lt;&gt;"Yes",ISNUMBER(H197)),MAX(0,Overview!$I$3-H197),0)</f>
        <v/>
      </c>
      <c r="AA197" s="5" t="inlineStr">
        <is>
          <t>Transport Manager</t>
        </is>
      </c>
      <c r="AB197" t="inlineStr">
        <is>
          <t>/school/transport/routes/[id]</t>
        </is>
      </c>
    </row>
    <row r="198" ht="35" customHeight="1">
      <c r="A198" s="2" t="inlineStr">
        <is>
          <t>SCR-192</t>
        </is>
      </c>
      <c r="B198" s="5" t="inlineStr">
        <is>
          <t>Drivers &amp; Conductors</t>
        </is>
      </c>
      <c r="C198" s="5" t="inlineStr">
        <is>
          <t>Transport / Bus / GPS</t>
        </is>
      </c>
      <c r="D198" s="2" t="inlineStr">
        <is>
          <t>Phase 3</t>
        </is>
      </c>
      <c r="E198" s="2" t="inlineStr">
        <is>
          <t>US-0383, US-0384</t>
        </is>
      </c>
      <c r="F198" s="24" t="n"/>
      <c r="G198" s="24" t="n"/>
      <c r="H198" s="32" t="n"/>
      <c r="I198" s="2" t="inlineStr">
        <is>
          <t>Ready</t>
        </is>
      </c>
      <c r="J198" s="33" t="inlineStr">
        <is>
          <t>Done</t>
        </is>
      </c>
      <c r="K198" s="33" t="inlineStr">
        <is>
          <t>Done</t>
        </is>
      </c>
      <c r="L198" s="24" t="inlineStr">
        <is>
          <t>Not assessed</t>
        </is>
      </c>
      <c r="M198" s="24" t="inlineStr">
        <is>
          <t>Not assessed</t>
        </is>
      </c>
      <c r="N198" s="24" t="inlineStr">
        <is>
          <t>Not assessed</t>
        </is>
      </c>
      <c r="O198" s="35" t="n"/>
      <c r="P198" s="24" t="inlineStr">
        <is>
          <t>Not scheduled</t>
        </is>
      </c>
      <c r="Q198" s="24" t="n"/>
      <c r="R198" s="24" t="inlineStr">
        <is>
          <t>Drivers and conductors with licence expiry</t>
        </is>
      </c>
      <c r="S198" s="24" t="n"/>
      <c r="T198" s="24" t="n"/>
      <c r="U198" s="36" t="n">
        <v>46285</v>
      </c>
      <c r="V198" s="24" t="n"/>
      <c r="W198" s="15">
        <f>IF(P198="Production",IF(X198="Yes","Released","Review release"),IF(P198="Rolled back","Rolled back",IF(OR(Q198&lt;&gt;"",COUNTIFS(J198:N198,"Blocked")&gt;0),"Blocked",IF(OR(M198="Failed",N198="Rejected",AND(ISNUMBER(O198),O198&gt;0)),"Rework",IF(X198="Yes","Ready for release",IF(N198="Accepted","Verify completion",IF(OR(M198="Passed",M198="In progress",N198="In review"),"Testing / review",IF(OR(COUNTIFS(J198:L198,"In progress")&gt;0,COUNTIFS(J198:L198,"In review")&gt;0,COUNTIFS(J198:L198,"Done")&gt;0),"In progress",IF(COUNTIFS(J198:N198,"Not assessed")=5,"Not assessed","Planned")))))))))</f>
        <v/>
      </c>
      <c r="X198" s="15">
        <f>IF(AND(J198="Done",OR(K198="Done",K198="Not required"),OR(L198="Done",L198="Not required"),M198="Passed",N198="Accepted",ISNUMBER(O198),O198=0,Q198="",F198&lt;&gt;"",S198&lt;&gt;"",T198&lt;&gt;"",ISNUMBER(U198),OR(AND(K198&lt;&gt;"Not required",L198&lt;&gt;"Not required"),V198&lt;&gt;""),P198&lt;&gt;"Rolled back"),"Yes","No")</f>
        <v/>
      </c>
      <c r="Y198" s="15">
        <f>IF(X198="Yes","Completed",IF(H198="","No deadline",IF(NOT(ISNUMBER(H198)),"Check date",IF(H198&lt;Overview!$I$3,"Overdue",IF(H198&lt;=Overview!$I$3+7,"Due soon","On track")))))</f>
        <v/>
      </c>
      <c r="Z198" s="37">
        <f>IF(AND(X198&lt;&gt;"Yes",ISNUMBER(H198)),MAX(0,Overview!$I$3-H198),0)</f>
        <v/>
      </c>
      <c r="AA198" s="5" t="inlineStr">
        <is>
          <t>Transport Manager</t>
        </is>
      </c>
      <c r="AB198" t="inlineStr">
        <is>
          <t>/school/transport/crew</t>
        </is>
      </c>
    </row>
    <row r="199" ht="35" customHeight="1">
      <c r="A199" s="2" t="inlineStr">
        <is>
          <t>SCR-193</t>
        </is>
      </c>
      <c r="B199" s="5" t="inlineStr">
        <is>
          <t>Student Route Assignment</t>
        </is>
      </c>
      <c r="C199" s="5" t="inlineStr">
        <is>
          <t>Transport / Bus / GPS</t>
        </is>
      </c>
      <c r="D199" s="2" t="inlineStr">
        <is>
          <t>Phase 3</t>
        </is>
      </c>
      <c r="E199" s="2" t="inlineStr">
        <is>
          <t>US-0385, US-0386</t>
        </is>
      </c>
      <c r="F199" s="24" t="n"/>
      <c r="G199" s="24" t="n"/>
      <c r="H199" s="32" t="n"/>
      <c r="I199" s="2" t="inlineStr">
        <is>
          <t>Ready</t>
        </is>
      </c>
      <c r="J199" s="33" t="inlineStr">
        <is>
          <t>Done</t>
        </is>
      </c>
      <c r="K199" s="33" t="inlineStr">
        <is>
          <t>Done</t>
        </is>
      </c>
      <c r="L199" s="24" t="inlineStr">
        <is>
          <t>Not assessed</t>
        </is>
      </c>
      <c r="M199" s="24" t="inlineStr">
        <is>
          <t>Not assessed</t>
        </is>
      </c>
      <c r="N199" s="24" t="inlineStr">
        <is>
          <t>Not assessed</t>
        </is>
      </c>
      <c r="O199" s="35" t="n"/>
      <c r="P199" s="24" t="inlineStr">
        <is>
          <t>Not scheduled</t>
        </is>
      </c>
      <c r="Q199" s="24" t="n"/>
      <c r="R199" s="24" t="inlineStr">
        <is>
          <t>Assign, move, end with route and stop</t>
        </is>
      </c>
      <c r="S199" s="24" t="n"/>
      <c r="T199" s="24" t="n"/>
      <c r="U199" s="36" t="n">
        <v>46285</v>
      </c>
      <c r="V199" s="24" t="n"/>
      <c r="W199" s="15">
        <f>IF(P199="Production",IF(X199="Yes","Released","Review release"),IF(P199="Rolled back","Rolled back",IF(OR(Q199&lt;&gt;"",COUNTIFS(J199:N199,"Blocked")&gt;0),"Blocked",IF(OR(M199="Failed",N199="Rejected",AND(ISNUMBER(O199),O199&gt;0)),"Rework",IF(X199="Yes","Ready for release",IF(N199="Accepted","Verify completion",IF(OR(M199="Passed",M199="In progress",N199="In review"),"Testing / review",IF(OR(COUNTIFS(J199:L199,"In progress")&gt;0,COUNTIFS(J199:L199,"In review")&gt;0,COUNTIFS(J199:L199,"Done")&gt;0),"In progress",IF(COUNTIFS(J199:N199,"Not assessed")=5,"Not assessed","Planned")))))))))</f>
        <v/>
      </c>
      <c r="X199" s="15">
        <f>IF(AND(J199="Done",OR(K199="Done",K199="Not required"),OR(L199="Done",L199="Not required"),M199="Passed",N199="Accepted",ISNUMBER(O199),O199=0,Q199="",F199&lt;&gt;"",S199&lt;&gt;"",T199&lt;&gt;"",ISNUMBER(U199),OR(AND(K199&lt;&gt;"Not required",L199&lt;&gt;"Not required"),V199&lt;&gt;""),P199&lt;&gt;"Rolled back"),"Yes","No")</f>
        <v/>
      </c>
      <c r="Y199" s="15">
        <f>IF(X199="Yes","Completed",IF(H199="","No deadline",IF(NOT(ISNUMBER(H199)),"Check date",IF(H199&lt;Overview!$I$3,"Overdue",IF(H199&lt;=Overview!$I$3+7,"Due soon","On track")))))</f>
        <v/>
      </c>
      <c r="Z199" s="37">
        <f>IF(AND(X199&lt;&gt;"Yes",ISNUMBER(H199)),MAX(0,Overview!$I$3-H199),0)</f>
        <v/>
      </c>
      <c r="AA199" s="5" t="inlineStr">
        <is>
          <t>Transport Manager</t>
        </is>
      </c>
      <c r="AB199" t="inlineStr">
        <is>
          <t>/school/transport/students</t>
        </is>
      </c>
    </row>
    <row r="200" ht="35" customHeight="1">
      <c r="A200" s="2" t="inlineStr">
        <is>
          <t>SCR-194</t>
        </is>
      </c>
      <c r="B200" s="5" t="inlineStr">
        <is>
          <t>Trip Sheet</t>
        </is>
      </c>
      <c r="C200" s="5" t="inlineStr">
        <is>
          <t>Transport / Bus / GPS</t>
        </is>
      </c>
      <c r="D200" s="2" t="inlineStr">
        <is>
          <t>Phase 3</t>
        </is>
      </c>
      <c r="E200" s="2" t="inlineStr">
        <is>
          <t>US-0387, US-0388</t>
        </is>
      </c>
      <c r="F200" s="24" t="n"/>
      <c r="G200" s="24" t="n"/>
      <c r="H200" s="32" t="n"/>
      <c r="I200" s="2" t="inlineStr">
        <is>
          <t>Ready</t>
        </is>
      </c>
      <c r="J200" s="33" t="inlineStr">
        <is>
          <t>Done</t>
        </is>
      </c>
      <c r="K200" s="33" t="inlineStr">
        <is>
          <t>Done</t>
        </is>
      </c>
      <c r="L200" s="24" t="inlineStr">
        <is>
          <t>Not assessed</t>
        </is>
      </c>
      <c r="M200" s="24" t="inlineStr">
        <is>
          <t>Not assessed</t>
        </is>
      </c>
      <c r="N200" s="24" t="inlineStr">
        <is>
          <t>Not assessed</t>
        </is>
      </c>
      <c r="O200" s="35" t="n"/>
      <c r="P200" s="24" t="inlineStr">
        <is>
          <t>Not scheduled</t>
        </is>
      </c>
      <c r="Q200" s="24" t="n"/>
      <c r="R200" s="24" t="inlineStr">
        <is>
          <t>Generate sheets, start, complete, odometer</t>
        </is>
      </c>
      <c r="S200" s="24" t="n"/>
      <c r="T200" s="24" t="n"/>
      <c r="U200" s="36" t="n">
        <v>46285</v>
      </c>
      <c r="V200" s="24" t="n"/>
      <c r="W200" s="15">
        <f>IF(P200="Production",IF(X200="Yes","Released","Review release"),IF(P200="Rolled back","Rolled back",IF(OR(Q200&lt;&gt;"",COUNTIFS(J200:N200,"Blocked")&gt;0),"Blocked",IF(OR(M200="Failed",N200="Rejected",AND(ISNUMBER(O200),O200&gt;0)),"Rework",IF(X200="Yes","Ready for release",IF(N200="Accepted","Verify completion",IF(OR(M200="Passed",M200="In progress",N200="In review"),"Testing / review",IF(OR(COUNTIFS(J200:L200,"In progress")&gt;0,COUNTIFS(J200:L200,"In review")&gt;0,COUNTIFS(J200:L200,"Done")&gt;0),"In progress",IF(COUNTIFS(J200:N200,"Not assessed")=5,"Not assessed","Planned")))))))))</f>
        <v/>
      </c>
      <c r="X200" s="15">
        <f>IF(AND(J200="Done",OR(K200="Done",K200="Not required"),OR(L200="Done",L200="Not required"),M200="Passed",N200="Accepted",ISNUMBER(O200),O200=0,Q200="",F200&lt;&gt;"",S200&lt;&gt;"",T200&lt;&gt;"",ISNUMBER(U200),OR(AND(K200&lt;&gt;"Not required",L200&lt;&gt;"Not required"),V200&lt;&gt;""),P200&lt;&gt;"Rolled back"),"Yes","No")</f>
        <v/>
      </c>
      <c r="Y200" s="15">
        <f>IF(X200="Yes","Completed",IF(H200="","No deadline",IF(NOT(ISNUMBER(H200)),"Check date",IF(H200&lt;Overview!$I$3,"Overdue",IF(H200&lt;=Overview!$I$3+7,"Due soon","On track")))))</f>
        <v/>
      </c>
      <c r="Z200" s="37">
        <f>IF(AND(X200&lt;&gt;"Yes",ISNUMBER(H200)),MAX(0,Overview!$I$3-H200),0)</f>
        <v/>
      </c>
      <c r="AA200" s="5" t="inlineStr">
        <is>
          <t>Transport Manager</t>
        </is>
      </c>
      <c r="AB200" t="inlineStr">
        <is>
          <t>/school/transport/trips/[id]</t>
        </is>
      </c>
    </row>
    <row r="201" ht="35" customHeight="1">
      <c r="A201" s="2" t="inlineStr">
        <is>
          <t>SCR-195</t>
        </is>
      </c>
      <c r="B201" s="5" t="inlineStr">
        <is>
          <t>Live GPS Tracking</t>
        </is>
      </c>
      <c r="C201" s="5" t="inlineStr">
        <is>
          <t>Transport / Bus / GPS</t>
        </is>
      </c>
      <c r="D201" s="2" t="inlineStr">
        <is>
          <t>Phase 3</t>
        </is>
      </c>
      <c r="E201" s="2" t="inlineStr">
        <is>
          <t>US-0389, US-0390</t>
        </is>
      </c>
      <c r="F201" s="24" t="n"/>
      <c r="G201" s="24" t="n"/>
      <c r="H201" s="32" t="n"/>
      <c r="I201" s="2" t="inlineStr">
        <is>
          <t>Ready</t>
        </is>
      </c>
      <c r="J201" s="33" t="inlineStr">
        <is>
          <t>Done</t>
        </is>
      </c>
      <c r="K201" s="33" t="inlineStr">
        <is>
          <t>Done</t>
        </is>
      </c>
      <c r="L201" s="24" t="inlineStr">
        <is>
          <t>Not assessed</t>
        </is>
      </c>
      <c r="M201" s="24" t="inlineStr">
        <is>
          <t>Not assessed</t>
        </is>
      </c>
      <c r="N201" s="24" t="inlineStr">
        <is>
          <t>Not assessed</t>
        </is>
      </c>
      <c r="O201" s="35" t="n"/>
      <c r="P201" s="24" t="inlineStr">
        <is>
          <t>Not scheduled</t>
        </is>
      </c>
      <c r="Q201" s="24" t="n"/>
      <c r="R201" s="24" t="inlineStr">
        <is>
          <t>Last reported position, staleness stated</t>
        </is>
      </c>
      <c r="S201" s="24" t="n"/>
      <c r="T201" s="24" t="n"/>
      <c r="U201" s="36" t="n">
        <v>46285</v>
      </c>
      <c r="V201" s="24" t="n"/>
      <c r="W201" s="15">
        <f>IF(P201="Production",IF(X201="Yes","Released","Review release"),IF(P201="Rolled back","Rolled back",IF(OR(Q201&lt;&gt;"",COUNTIFS(J201:N201,"Blocked")&gt;0),"Blocked",IF(OR(M201="Failed",N201="Rejected",AND(ISNUMBER(O201),O201&gt;0)),"Rework",IF(X201="Yes","Ready for release",IF(N201="Accepted","Verify completion",IF(OR(M201="Passed",M201="In progress",N201="In review"),"Testing / review",IF(OR(COUNTIFS(J201:L201,"In progress")&gt;0,COUNTIFS(J201:L201,"In review")&gt;0,COUNTIFS(J201:L201,"Done")&gt;0),"In progress",IF(COUNTIFS(J201:N201,"Not assessed")=5,"Not assessed","Planned")))))))))</f>
        <v/>
      </c>
      <c r="X201" s="15">
        <f>IF(AND(J201="Done",OR(K201="Done",K201="Not required"),OR(L201="Done",L201="Not required"),M201="Passed",N201="Accepted",ISNUMBER(O201),O201=0,Q201="",F201&lt;&gt;"",S201&lt;&gt;"",T201&lt;&gt;"",ISNUMBER(U201),OR(AND(K201&lt;&gt;"Not required",L201&lt;&gt;"Not required"),V201&lt;&gt;""),P201&lt;&gt;"Rolled back"),"Yes","No")</f>
        <v/>
      </c>
      <c r="Y201" s="15">
        <f>IF(X201="Yes","Completed",IF(H201="","No deadline",IF(NOT(ISNUMBER(H201)),"Check date",IF(H201&lt;Overview!$I$3,"Overdue",IF(H201&lt;=Overview!$I$3+7,"Due soon","On track")))))</f>
        <v/>
      </c>
      <c r="Z201" s="37">
        <f>IF(AND(X201&lt;&gt;"Yes",ISNUMBER(H201)),MAX(0,Overview!$I$3-H201),0)</f>
        <v/>
      </c>
      <c r="AA201" s="5" t="inlineStr">
        <is>
          <t>Transport Manager</t>
        </is>
      </c>
      <c r="AB201" t="inlineStr">
        <is>
          <t>/school/transport/live</t>
        </is>
      </c>
    </row>
    <row r="202" ht="35" customHeight="1">
      <c r="A202" s="2" t="inlineStr">
        <is>
          <t>SCR-196</t>
        </is>
      </c>
      <c r="B202" s="5" t="inlineStr">
        <is>
          <t>Boarding / Drop Attendance</t>
        </is>
      </c>
      <c r="C202" s="5" t="inlineStr">
        <is>
          <t>Transport / Bus / GPS</t>
        </is>
      </c>
      <c r="D202" s="2" t="inlineStr">
        <is>
          <t>Phase 3</t>
        </is>
      </c>
      <c r="E202" s="2" t="inlineStr">
        <is>
          <t>US-0391, US-0392</t>
        </is>
      </c>
      <c r="F202" s="24" t="n"/>
      <c r="G202" s="24" t="n"/>
      <c r="H202" s="32" t="n"/>
      <c r="I202" s="2" t="inlineStr">
        <is>
          <t>Ready</t>
        </is>
      </c>
      <c r="J202" s="33" t="inlineStr">
        <is>
          <t>Done</t>
        </is>
      </c>
      <c r="K202" s="33" t="inlineStr">
        <is>
          <t>Done</t>
        </is>
      </c>
      <c r="L202" s="24" t="inlineStr">
        <is>
          <t>Not assessed</t>
        </is>
      </c>
      <c r="M202" s="24" t="inlineStr">
        <is>
          <t>Not assessed</t>
        </is>
      </c>
      <c r="N202" s="24" t="inlineStr">
        <is>
          <t>Not assessed</t>
        </is>
      </c>
      <c r="O202" s="35" t="n"/>
      <c r="P202" s="24" t="inlineStr">
        <is>
          <t>Not scheduled</t>
        </is>
      </c>
      <c r="Q202" s="24" t="n"/>
      <c r="R202" s="24" t="inlineStr">
        <is>
          <t>Per-student boarded, dropped, absent</t>
        </is>
      </c>
      <c r="S202" s="24" t="n"/>
      <c r="T202" s="24" t="n"/>
      <c r="U202" s="36" t="n">
        <v>46285</v>
      </c>
      <c r="V202" s="24" t="n"/>
      <c r="W202" s="15">
        <f>IF(P202="Production",IF(X202="Yes","Released","Review release"),IF(P202="Rolled back","Rolled back",IF(OR(Q202&lt;&gt;"",COUNTIFS(J202:N202,"Blocked")&gt;0),"Blocked",IF(OR(M202="Failed",N202="Rejected",AND(ISNUMBER(O202),O202&gt;0)),"Rework",IF(X202="Yes","Ready for release",IF(N202="Accepted","Verify completion",IF(OR(M202="Passed",M202="In progress",N202="In review"),"Testing / review",IF(OR(COUNTIFS(J202:L202,"In progress")&gt;0,COUNTIFS(J202:L202,"In review")&gt;0,COUNTIFS(J202:L202,"Done")&gt;0),"In progress",IF(COUNTIFS(J202:N202,"Not assessed")=5,"Not assessed","Planned")))))))))</f>
        <v/>
      </c>
      <c r="X202" s="15">
        <f>IF(AND(J202="Done",OR(K202="Done",K202="Not required"),OR(L202="Done",L202="Not required"),M202="Passed",N202="Accepted",ISNUMBER(O202),O202=0,Q202="",F202&lt;&gt;"",S202&lt;&gt;"",T202&lt;&gt;"",ISNUMBER(U202),OR(AND(K202&lt;&gt;"Not required",L202&lt;&gt;"Not required"),V202&lt;&gt;""),P202&lt;&gt;"Rolled back"),"Yes","No")</f>
        <v/>
      </c>
      <c r="Y202" s="15">
        <f>IF(X202="Yes","Completed",IF(H202="","No deadline",IF(NOT(ISNUMBER(H202)),"Check date",IF(H202&lt;Overview!$I$3,"Overdue",IF(H202&lt;=Overview!$I$3+7,"Due soon","On track")))))</f>
        <v/>
      </c>
      <c r="Z202" s="37">
        <f>IF(AND(X202&lt;&gt;"Yes",ISNUMBER(H202)),MAX(0,Overview!$I$3-H202),0)</f>
        <v/>
      </c>
      <c r="AA202" s="5" t="inlineStr">
        <is>
          <t>Transport Manager</t>
        </is>
      </c>
      <c r="AB202" t="inlineStr">
        <is>
          <t>/school/transport/trips/[id]</t>
        </is>
      </c>
    </row>
    <row r="203" ht="35" customHeight="1">
      <c r="A203" s="2" t="inlineStr">
        <is>
          <t>SCR-197</t>
        </is>
      </c>
      <c r="B203" s="5" t="inlineStr">
        <is>
          <t>Vehicle Maintenance &amp; Fuel</t>
        </is>
      </c>
      <c r="C203" s="5" t="inlineStr">
        <is>
          <t>Transport / Bus / GPS</t>
        </is>
      </c>
      <c r="D203" s="2" t="inlineStr">
        <is>
          <t>Phase 3</t>
        </is>
      </c>
      <c r="E203" s="2" t="inlineStr">
        <is>
          <t>US-0393, US-0394</t>
        </is>
      </c>
      <c r="F203" s="24" t="n"/>
      <c r="G203" s="24" t="n"/>
      <c r="H203" s="32" t="n"/>
      <c r="I203" s="2" t="inlineStr">
        <is>
          <t>Ready</t>
        </is>
      </c>
      <c r="J203" s="33" t="inlineStr">
        <is>
          <t>Done</t>
        </is>
      </c>
      <c r="K203" s="33" t="inlineStr">
        <is>
          <t>Done</t>
        </is>
      </c>
      <c r="L203" s="24" t="inlineStr">
        <is>
          <t>Not assessed</t>
        </is>
      </c>
      <c r="M203" s="24" t="inlineStr">
        <is>
          <t>Not assessed</t>
        </is>
      </c>
      <c r="N203" s="24" t="inlineStr">
        <is>
          <t>Not assessed</t>
        </is>
      </c>
      <c r="O203" s="35" t="n"/>
      <c r="P203" s="24" t="inlineStr">
        <is>
          <t>Not scheduled</t>
        </is>
      </c>
      <c r="Q203" s="24" t="n"/>
      <c r="R203" s="24" t="inlineStr">
        <is>
          <t>Fuel and service entries with odometer</t>
        </is>
      </c>
      <c r="S203" s="24" t="n"/>
      <c r="T203" s="24" t="n"/>
      <c r="U203" s="36" t="n">
        <v>46285</v>
      </c>
      <c r="V203" s="24" t="n"/>
      <c r="W203" s="15">
        <f>IF(P203="Production",IF(X203="Yes","Released","Review release"),IF(P203="Rolled back","Rolled back",IF(OR(Q203&lt;&gt;"",COUNTIFS(J203:N203,"Blocked")&gt;0),"Blocked",IF(OR(M203="Failed",N203="Rejected",AND(ISNUMBER(O203),O203&gt;0)),"Rework",IF(X203="Yes","Ready for release",IF(N203="Accepted","Verify completion",IF(OR(M203="Passed",M203="In progress",N203="In review"),"Testing / review",IF(OR(COUNTIFS(J203:L203,"In progress")&gt;0,COUNTIFS(J203:L203,"In review")&gt;0,COUNTIFS(J203:L203,"Done")&gt;0),"In progress",IF(COUNTIFS(J203:N203,"Not assessed")=5,"Not assessed","Planned")))))))))</f>
        <v/>
      </c>
      <c r="X203" s="15">
        <f>IF(AND(J203="Done",OR(K203="Done",K203="Not required"),OR(L203="Done",L203="Not required"),M203="Passed",N203="Accepted",ISNUMBER(O203),O203=0,Q203="",F203&lt;&gt;"",S203&lt;&gt;"",T203&lt;&gt;"",ISNUMBER(U203),OR(AND(K203&lt;&gt;"Not required",L203&lt;&gt;"Not required"),V203&lt;&gt;""),P203&lt;&gt;"Rolled back"),"Yes","No")</f>
        <v/>
      </c>
      <c r="Y203" s="15">
        <f>IF(X203="Yes","Completed",IF(H203="","No deadline",IF(NOT(ISNUMBER(H203)),"Check date",IF(H203&lt;Overview!$I$3,"Overdue",IF(H203&lt;=Overview!$I$3+7,"Due soon","On track")))))</f>
        <v/>
      </c>
      <c r="Z203" s="37">
        <f>IF(AND(X203&lt;&gt;"Yes",ISNUMBER(H203)),MAX(0,Overview!$I$3-H203),0)</f>
        <v/>
      </c>
      <c r="AA203" s="5" t="inlineStr">
        <is>
          <t>Transport Manager</t>
        </is>
      </c>
      <c r="AB203" t="inlineStr">
        <is>
          <t>/school/transport/vehicles/[id]</t>
        </is>
      </c>
    </row>
    <row r="204" ht="35" customHeight="1">
      <c r="A204" s="2" t="inlineStr">
        <is>
          <t>SCR-198</t>
        </is>
      </c>
      <c r="B204" s="5" t="inlineStr">
        <is>
          <t>Library Catalogue</t>
        </is>
      </c>
      <c r="C204" s="5" t="inlineStr">
        <is>
          <t>Library</t>
        </is>
      </c>
      <c r="D204" s="2" t="inlineStr">
        <is>
          <t>Phase 2</t>
        </is>
      </c>
      <c r="E204" s="2" t="inlineStr">
        <is>
          <t>US-0395, US-0396</t>
        </is>
      </c>
      <c r="F204" s="24" t="n"/>
      <c r="G204" s="24" t="n"/>
      <c r="H204" s="32" t="n"/>
      <c r="I204" s="2" t="inlineStr">
        <is>
          <t>Ready</t>
        </is>
      </c>
      <c r="J204" s="33" t="inlineStr">
        <is>
          <t>Done</t>
        </is>
      </c>
      <c r="K204" s="33" t="inlineStr">
        <is>
          <t>Done</t>
        </is>
      </c>
      <c r="L204" s="24" t="inlineStr">
        <is>
          <t>Not assessed</t>
        </is>
      </c>
      <c r="M204" s="24" t="inlineStr">
        <is>
          <t>Not assessed</t>
        </is>
      </c>
      <c r="N204" s="24" t="inlineStr">
        <is>
          <t>Not assessed</t>
        </is>
      </c>
      <c r="O204" s="35" t="n"/>
      <c r="P204" s="24" t="inlineStr">
        <is>
          <t>Not scheduled</t>
        </is>
      </c>
      <c r="Q204" s="24" t="n"/>
      <c r="R204" s="24" t="inlineStr">
        <is>
          <t>Search with category and shelf filters</t>
        </is>
      </c>
      <c r="S204" s="24" t="n"/>
      <c r="T204" s="24" t="n"/>
      <c r="U204" s="36" t="n">
        <v>46285</v>
      </c>
      <c r="V204" s="24" t="n"/>
      <c r="W204" s="15">
        <f>IF(P204="Production",IF(X204="Yes","Released","Review release"),IF(P204="Rolled back","Rolled back",IF(OR(Q204&lt;&gt;"",COUNTIFS(J204:N204,"Blocked")&gt;0),"Blocked",IF(OR(M204="Failed",N204="Rejected",AND(ISNUMBER(O204),O204&gt;0)),"Rework",IF(X204="Yes","Ready for release",IF(N204="Accepted","Verify completion",IF(OR(M204="Passed",M204="In progress",N204="In review"),"Testing / review",IF(OR(COUNTIFS(J204:L204,"In progress")&gt;0,COUNTIFS(J204:L204,"In review")&gt;0,COUNTIFS(J204:L204,"Done")&gt;0),"In progress",IF(COUNTIFS(J204:N204,"Not assessed")=5,"Not assessed","Planned")))))))))</f>
        <v/>
      </c>
      <c r="X204" s="15">
        <f>IF(AND(J204="Done",OR(K204="Done",K204="Not required"),OR(L204="Done",L204="Not required"),M204="Passed",N204="Accepted",ISNUMBER(O204),O204=0,Q204="",F204&lt;&gt;"",S204&lt;&gt;"",T204&lt;&gt;"",ISNUMBER(U204),OR(AND(K204&lt;&gt;"Not required",L204&lt;&gt;"Not required"),V204&lt;&gt;""),P204&lt;&gt;"Rolled back"),"Yes","No")</f>
        <v/>
      </c>
      <c r="Y204" s="15">
        <f>IF(X204="Yes","Completed",IF(H204="","No deadline",IF(NOT(ISNUMBER(H204)),"Check date",IF(H204&lt;Overview!$I$3,"Overdue",IF(H204&lt;=Overview!$I$3+7,"Due soon","On track")))))</f>
        <v/>
      </c>
      <c r="Z204" s="37">
        <f>IF(AND(X204&lt;&gt;"Yes",ISNUMBER(H204)),MAX(0,Overview!$I$3-H204),0)</f>
        <v/>
      </c>
      <c r="AA204" s="5" t="inlineStr">
        <is>
          <t>Librarian</t>
        </is>
      </c>
      <c r="AB204" t="inlineStr">
        <is>
          <t>/school/library/catalogue</t>
        </is>
      </c>
    </row>
    <row r="205" ht="35" customHeight="1">
      <c r="A205" s="2" t="inlineStr">
        <is>
          <t>SCR-199</t>
        </is>
      </c>
      <c r="B205" s="5" t="inlineStr">
        <is>
          <t>Add / Edit Book</t>
        </is>
      </c>
      <c r="C205" s="5" t="inlineStr">
        <is>
          <t>Library</t>
        </is>
      </c>
      <c r="D205" s="2" t="inlineStr">
        <is>
          <t>Phase 2</t>
        </is>
      </c>
      <c r="E205" s="2" t="inlineStr">
        <is>
          <t>US-0397, US-0398</t>
        </is>
      </c>
      <c r="F205" s="24" t="n"/>
      <c r="G205" s="24" t="n"/>
      <c r="H205" s="32" t="n"/>
      <c r="I205" s="2" t="inlineStr">
        <is>
          <t>Ready</t>
        </is>
      </c>
      <c r="J205" s="33" t="inlineStr">
        <is>
          <t>Done</t>
        </is>
      </c>
      <c r="K205" s="33" t="inlineStr">
        <is>
          <t>Done</t>
        </is>
      </c>
      <c r="L205" s="24" t="inlineStr">
        <is>
          <t>Not assessed</t>
        </is>
      </c>
      <c r="M205" s="24" t="inlineStr">
        <is>
          <t>Not assessed</t>
        </is>
      </c>
      <c r="N205" s="24" t="inlineStr">
        <is>
          <t>Not assessed</t>
        </is>
      </c>
      <c r="O205" s="35" t="n"/>
      <c r="P205" s="24" t="inlineStr">
        <is>
          <t>Not scheduled</t>
        </is>
      </c>
      <c r="Q205" s="24" t="n"/>
      <c r="R205" s="24" t="inlineStr">
        <is>
          <t>Book form with initial copies and price</t>
        </is>
      </c>
      <c r="S205" s="24" t="n"/>
      <c r="T205" s="24" t="n"/>
      <c r="U205" s="36" t="n">
        <v>46285</v>
      </c>
      <c r="V205" s="24" t="n"/>
      <c r="W205" s="15">
        <f>IF(P205="Production",IF(X205="Yes","Released","Review release"),IF(P205="Rolled back","Rolled back",IF(OR(Q205&lt;&gt;"",COUNTIFS(J205:N205,"Blocked")&gt;0),"Blocked",IF(OR(M205="Failed",N205="Rejected",AND(ISNUMBER(O205),O205&gt;0)),"Rework",IF(X205="Yes","Ready for release",IF(N205="Accepted","Verify completion",IF(OR(M205="Passed",M205="In progress",N205="In review"),"Testing / review",IF(OR(COUNTIFS(J205:L205,"In progress")&gt;0,COUNTIFS(J205:L205,"In review")&gt;0,COUNTIFS(J205:L205,"Done")&gt;0),"In progress",IF(COUNTIFS(J205:N205,"Not assessed")=5,"Not assessed","Planned")))))))))</f>
        <v/>
      </c>
      <c r="X205" s="15">
        <f>IF(AND(J205="Done",OR(K205="Done",K205="Not required"),OR(L205="Done",L205="Not required"),M205="Passed",N205="Accepted",ISNUMBER(O205),O205=0,Q205="",F205&lt;&gt;"",S205&lt;&gt;"",T205&lt;&gt;"",ISNUMBER(U205),OR(AND(K205&lt;&gt;"Not required",L205&lt;&gt;"Not required"),V205&lt;&gt;""),P205&lt;&gt;"Rolled back"),"Yes","No")</f>
        <v/>
      </c>
      <c r="Y205" s="15">
        <f>IF(X205="Yes","Completed",IF(H205="","No deadline",IF(NOT(ISNUMBER(H205)),"Check date",IF(H205&lt;Overview!$I$3,"Overdue",IF(H205&lt;=Overview!$I$3+7,"Due soon","On track")))))</f>
        <v/>
      </c>
      <c r="Z205" s="37">
        <f>IF(AND(X205&lt;&gt;"Yes",ISNUMBER(H205)),MAX(0,Overview!$I$3-H205),0)</f>
        <v/>
      </c>
      <c r="AA205" s="5" t="inlineStr">
        <is>
          <t>Librarian</t>
        </is>
      </c>
      <c r="AB205" t="inlineStr">
        <is>
          <t>/school/library/catalogue</t>
        </is>
      </c>
    </row>
    <row r="206" ht="35" customHeight="1">
      <c r="A206" s="2" t="inlineStr">
        <is>
          <t>SCR-200</t>
        </is>
      </c>
      <c r="B206" s="5" t="inlineStr">
        <is>
          <t>Book Details &amp; Copies</t>
        </is>
      </c>
      <c r="C206" s="5" t="inlineStr">
        <is>
          <t>Library</t>
        </is>
      </c>
      <c r="D206" s="2" t="inlineStr">
        <is>
          <t>Phase 2</t>
        </is>
      </c>
      <c r="E206" s="2" t="inlineStr">
        <is>
          <t>US-0399, US-0400</t>
        </is>
      </c>
      <c r="F206" s="24" t="n"/>
      <c r="G206" s="24" t="n"/>
      <c r="H206" s="32" t="n"/>
      <c r="I206" s="2" t="inlineStr">
        <is>
          <t>Ready</t>
        </is>
      </c>
      <c r="J206" s="33" t="inlineStr">
        <is>
          <t>Done</t>
        </is>
      </c>
      <c r="K206" s="33" t="inlineStr">
        <is>
          <t>Done</t>
        </is>
      </c>
      <c r="L206" s="24" t="inlineStr">
        <is>
          <t>Not assessed</t>
        </is>
      </c>
      <c r="M206" s="24" t="inlineStr">
        <is>
          <t>Not assessed</t>
        </is>
      </c>
      <c r="N206" s="24" t="inlineStr">
        <is>
          <t>Not assessed</t>
        </is>
      </c>
      <c r="O206" s="35" t="n"/>
      <c r="P206" s="24" t="inlineStr">
        <is>
          <t>Not scheduled</t>
        </is>
      </c>
      <c r="Q206" s="24" t="n"/>
      <c r="R206" s="24" t="inlineStr">
        <is>
          <t>Copies table, statuses, add copies</t>
        </is>
      </c>
      <c r="S206" s="24" t="n"/>
      <c r="T206" s="24" t="n"/>
      <c r="U206" s="36" t="n">
        <v>46285</v>
      </c>
      <c r="V206" s="24" t="n"/>
      <c r="W206" s="15">
        <f>IF(P206="Production",IF(X206="Yes","Released","Review release"),IF(P206="Rolled back","Rolled back",IF(OR(Q206&lt;&gt;"",COUNTIFS(J206:N206,"Blocked")&gt;0),"Blocked",IF(OR(M206="Failed",N206="Rejected",AND(ISNUMBER(O206),O206&gt;0)),"Rework",IF(X206="Yes","Ready for release",IF(N206="Accepted","Verify completion",IF(OR(M206="Passed",M206="In progress",N206="In review"),"Testing / review",IF(OR(COUNTIFS(J206:L206,"In progress")&gt;0,COUNTIFS(J206:L206,"In review")&gt;0,COUNTIFS(J206:L206,"Done")&gt;0),"In progress",IF(COUNTIFS(J206:N206,"Not assessed")=5,"Not assessed","Planned")))))))))</f>
        <v/>
      </c>
      <c r="X206" s="15">
        <f>IF(AND(J206="Done",OR(K206="Done",K206="Not required"),OR(L206="Done",L206="Not required"),M206="Passed",N206="Accepted",ISNUMBER(O206),O206=0,Q206="",F206&lt;&gt;"",S206&lt;&gt;"",T206&lt;&gt;"",ISNUMBER(U206),OR(AND(K206&lt;&gt;"Not required",L206&lt;&gt;"Not required"),V206&lt;&gt;""),P206&lt;&gt;"Rolled back"),"Yes","No")</f>
        <v/>
      </c>
      <c r="Y206" s="15">
        <f>IF(X206="Yes","Completed",IF(H206="","No deadline",IF(NOT(ISNUMBER(H206)),"Check date",IF(H206&lt;Overview!$I$3,"Overdue",IF(H206&lt;=Overview!$I$3+7,"Due soon","On track")))))</f>
        <v/>
      </c>
      <c r="Z206" s="37">
        <f>IF(AND(X206&lt;&gt;"Yes",ISNUMBER(H206)),MAX(0,Overview!$I$3-H206),0)</f>
        <v/>
      </c>
      <c r="AA206" s="5" t="inlineStr">
        <is>
          <t>Librarian</t>
        </is>
      </c>
      <c r="AB206" t="inlineStr">
        <is>
          <t>/school/library/catalogue/[id]</t>
        </is>
      </c>
    </row>
    <row r="207" ht="35" customHeight="1">
      <c r="A207" s="2" t="inlineStr">
        <is>
          <t>SCR-201</t>
        </is>
      </c>
      <c r="B207" s="5" t="inlineStr">
        <is>
          <t>Library Members</t>
        </is>
      </c>
      <c r="C207" s="5" t="inlineStr">
        <is>
          <t>Library</t>
        </is>
      </c>
      <c r="D207" s="2" t="inlineStr">
        <is>
          <t>Phase 2</t>
        </is>
      </c>
      <c r="E207" s="2" t="inlineStr">
        <is>
          <t>US-0401, US-0402</t>
        </is>
      </c>
      <c r="F207" s="24" t="n"/>
      <c r="G207" s="24" t="n"/>
      <c r="H207" s="32" t="n"/>
      <c r="I207" s="2" t="inlineStr">
        <is>
          <t>Ready</t>
        </is>
      </c>
      <c r="J207" s="33" t="inlineStr">
        <is>
          <t>Done</t>
        </is>
      </c>
      <c r="K207" s="33" t="inlineStr">
        <is>
          <t>Done</t>
        </is>
      </c>
      <c r="L207" s="24" t="inlineStr">
        <is>
          <t>Not assessed</t>
        </is>
      </c>
      <c r="M207" s="24" t="inlineStr">
        <is>
          <t>Not assessed</t>
        </is>
      </c>
      <c r="N207" s="24" t="inlineStr">
        <is>
          <t>Not assessed</t>
        </is>
      </c>
      <c r="O207" s="35" t="n"/>
      <c r="P207" s="24" t="inlineStr">
        <is>
          <t>Not scheduled</t>
        </is>
      </c>
      <c r="Q207" s="24" t="n"/>
      <c r="R207" s="24" t="inlineStr">
        <is>
          <t>Who holds what, with limit and can-borrow</t>
        </is>
      </c>
      <c r="S207" s="24" t="n"/>
      <c r="T207" s="24" t="n"/>
      <c r="U207" s="36" t="n">
        <v>46285</v>
      </c>
      <c r="V207" s="24" t="n"/>
      <c r="W207" s="15">
        <f>IF(P207="Production",IF(X207="Yes","Released","Review release"),IF(P207="Rolled back","Rolled back",IF(OR(Q207&lt;&gt;"",COUNTIFS(J207:N207,"Blocked")&gt;0),"Blocked",IF(OR(M207="Failed",N207="Rejected",AND(ISNUMBER(O207),O207&gt;0)),"Rework",IF(X207="Yes","Ready for release",IF(N207="Accepted","Verify completion",IF(OR(M207="Passed",M207="In progress",N207="In review"),"Testing / review",IF(OR(COUNTIFS(J207:L207,"In progress")&gt;0,COUNTIFS(J207:L207,"In review")&gt;0,COUNTIFS(J207:L207,"Done")&gt;0),"In progress",IF(COUNTIFS(J207:N207,"Not assessed")=5,"Not assessed","Planned")))))))))</f>
        <v/>
      </c>
      <c r="X207" s="15">
        <f>IF(AND(J207="Done",OR(K207="Done",K207="Not required"),OR(L207="Done",L207="Not required"),M207="Passed",N207="Accepted",ISNUMBER(O207),O207=0,Q207="",F207&lt;&gt;"",S207&lt;&gt;"",T207&lt;&gt;"",ISNUMBER(U207),OR(AND(K207&lt;&gt;"Not required",L207&lt;&gt;"Not required"),V207&lt;&gt;""),P207&lt;&gt;"Rolled back"),"Yes","No")</f>
        <v/>
      </c>
      <c r="Y207" s="15">
        <f>IF(X207="Yes","Completed",IF(H207="","No deadline",IF(NOT(ISNUMBER(H207)),"Check date",IF(H207&lt;Overview!$I$3,"Overdue",IF(H207&lt;=Overview!$I$3+7,"Due soon","On track")))))</f>
        <v/>
      </c>
      <c r="Z207" s="37">
        <f>IF(AND(X207&lt;&gt;"Yes",ISNUMBER(H207)),MAX(0,Overview!$I$3-H207),0)</f>
        <v/>
      </c>
      <c r="AA207" s="5" t="inlineStr">
        <is>
          <t>Librarian</t>
        </is>
      </c>
      <c r="AB207" t="inlineStr">
        <is>
          <t>/school/library/members</t>
        </is>
      </c>
    </row>
    <row r="208" ht="35" customHeight="1">
      <c r="A208" s="2" t="inlineStr">
        <is>
          <t>SCR-202</t>
        </is>
      </c>
      <c r="B208" s="5" t="inlineStr">
        <is>
          <t>Issue Book</t>
        </is>
      </c>
      <c r="C208" s="5" t="inlineStr">
        <is>
          <t>Library</t>
        </is>
      </c>
      <c r="D208" s="2" t="inlineStr">
        <is>
          <t>Phase 2</t>
        </is>
      </c>
      <c r="E208" s="2" t="inlineStr">
        <is>
          <t>US-0403, US-0404</t>
        </is>
      </c>
      <c r="F208" s="24" t="n"/>
      <c r="G208" s="24" t="n"/>
      <c r="H208" s="32" t="n"/>
      <c r="I208" s="2" t="inlineStr">
        <is>
          <t>Ready</t>
        </is>
      </c>
      <c r="J208" s="33" t="inlineStr">
        <is>
          <t>Done</t>
        </is>
      </c>
      <c r="K208" s="33" t="inlineStr">
        <is>
          <t>Done</t>
        </is>
      </c>
      <c r="L208" s="24" t="inlineStr">
        <is>
          <t>Not assessed</t>
        </is>
      </c>
      <c r="M208" s="24" t="inlineStr">
        <is>
          <t>Not assessed</t>
        </is>
      </c>
      <c r="N208" s="24" t="inlineStr">
        <is>
          <t>Not assessed</t>
        </is>
      </c>
      <c r="O208" s="35" t="n"/>
      <c r="P208" s="24" t="inlineStr">
        <is>
          <t>Not scheduled</t>
        </is>
      </c>
      <c r="Q208" s="24" t="n"/>
      <c r="R208" s="24" t="inlineStr">
        <is>
          <t>Borrower and accession scan with due date</t>
        </is>
      </c>
      <c r="S208" s="24" t="n"/>
      <c r="T208" s="24" t="n"/>
      <c r="U208" s="36" t="n">
        <v>46285</v>
      </c>
      <c r="V208" s="24" t="n"/>
      <c r="W208" s="15">
        <f>IF(P208="Production",IF(X208="Yes","Released","Review release"),IF(P208="Rolled back","Rolled back",IF(OR(Q208&lt;&gt;"",COUNTIFS(J208:N208,"Blocked")&gt;0),"Blocked",IF(OR(M208="Failed",N208="Rejected",AND(ISNUMBER(O208),O208&gt;0)),"Rework",IF(X208="Yes","Ready for release",IF(N208="Accepted","Verify completion",IF(OR(M208="Passed",M208="In progress",N208="In review"),"Testing / review",IF(OR(COUNTIFS(J208:L208,"In progress")&gt;0,COUNTIFS(J208:L208,"In review")&gt;0,COUNTIFS(J208:L208,"Done")&gt;0),"In progress",IF(COUNTIFS(J208:N208,"Not assessed")=5,"Not assessed","Planned")))))))))</f>
        <v/>
      </c>
      <c r="X208" s="15">
        <f>IF(AND(J208="Done",OR(K208="Done",K208="Not required"),OR(L208="Done",L208="Not required"),M208="Passed",N208="Accepted",ISNUMBER(O208),O208=0,Q208="",F208&lt;&gt;"",S208&lt;&gt;"",T208&lt;&gt;"",ISNUMBER(U208),OR(AND(K208&lt;&gt;"Not required",L208&lt;&gt;"Not required"),V208&lt;&gt;""),P208&lt;&gt;"Rolled back"),"Yes","No")</f>
        <v/>
      </c>
      <c r="Y208" s="15">
        <f>IF(X208="Yes","Completed",IF(H208="","No deadline",IF(NOT(ISNUMBER(H208)),"Check date",IF(H208&lt;Overview!$I$3,"Overdue",IF(H208&lt;=Overview!$I$3+7,"Due soon","On track")))))</f>
        <v/>
      </c>
      <c r="Z208" s="37">
        <f>IF(AND(X208&lt;&gt;"Yes",ISNUMBER(H208)),MAX(0,Overview!$I$3-H208),0)</f>
        <v/>
      </c>
      <c r="AA208" s="5" t="inlineStr">
        <is>
          <t>Librarian</t>
        </is>
      </c>
      <c r="AB208" t="inlineStr">
        <is>
          <t>/school/library</t>
        </is>
      </c>
    </row>
    <row r="209" ht="35" customHeight="1">
      <c r="A209" s="2" t="inlineStr">
        <is>
          <t>SCR-203</t>
        </is>
      </c>
      <c r="B209" s="5" t="inlineStr">
        <is>
          <t>Return Book</t>
        </is>
      </c>
      <c r="C209" s="5" t="inlineStr">
        <is>
          <t>Library</t>
        </is>
      </c>
      <c r="D209" s="2" t="inlineStr">
        <is>
          <t>Phase 3</t>
        </is>
      </c>
      <c r="E209" s="2" t="inlineStr">
        <is>
          <t>US-0405, US-0406</t>
        </is>
      </c>
      <c r="F209" s="24" t="n"/>
      <c r="G209" s="24" t="n"/>
      <c r="H209" s="32" t="n"/>
      <c r="I209" s="2" t="inlineStr">
        <is>
          <t>Ready</t>
        </is>
      </c>
      <c r="J209" s="33" t="inlineStr">
        <is>
          <t>Done</t>
        </is>
      </c>
      <c r="K209" s="33" t="inlineStr">
        <is>
          <t>Done</t>
        </is>
      </c>
      <c r="L209" s="24" t="inlineStr">
        <is>
          <t>Not assessed</t>
        </is>
      </c>
      <c r="M209" s="24" t="inlineStr">
        <is>
          <t>Not assessed</t>
        </is>
      </c>
      <c r="N209" s="24" t="inlineStr">
        <is>
          <t>Not assessed</t>
        </is>
      </c>
      <c r="O209" s="35" t="n"/>
      <c r="P209" s="24" t="inlineStr">
        <is>
          <t>Not scheduled</t>
        </is>
      </c>
      <c r="Q209" s="24" t="n"/>
      <c r="R209" s="24" t="inlineStr">
        <is>
          <t>Return with damage flag and fine</t>
        </is>
      </c>
      <c r="S209" s="24" t="n"/>
      <c r="T209" s="24" t="n"/>
      <c r="U209" s="36" t="n">
        <v>46285</v>
      </c>
      <c r="V209" s="24" t="n"/>
      <c r="W209" s="15">
        <f>IF(P209="Production",IF(X209="Yes","Released","Review release"),IF(P209="Rolled back","Rolled back",IF(OR(Q209&lt;&gt;"",COUNTIFS(J209:N209,"Blocked")&gt;0),"Blocked",IF(OR(M209="Failed",N209="Rejected",AND(ISNUMBER(O209),O209&gt;0)),"Rework",IF(X209="Yes","Ready for release",IF(N209="Accepted","Verify completion",IF(OR(M209="Passed",M209="In progress",N209="In review"),"Testing / review",IF(OR(COUNTIFS(J209:L209,"In progress")&gt;0,COUNTIFS(J209:L209,"In review")&gt;0,COUNTIFS(J209:L209,"Done")&gt;0),"In progress",IF(COUNTIFS(J209:N209,"Not assessed")=5,"Not assessed","Planned")))))))))</f>
        <v/>
      </c>
      <c r="X209" s="15">
        <f>IF(AND(J209="Done",OR(K209="Done",K209="Not required"),OR(L209="Done",L209="Not required"),M209="Passed",N209="Accepted",ISNUMBER(O209),O209=0,Q209="",F209&lt;&gt;"",S209&lt;&gt;"",T209&lt;&gt;"",ISNUMBER(U209),OR(AND(K209&lt;&gt;"Not required",L209&lt;&gt;"Not required"),V209&lt;&gt;""),P209&lt;&gt;"Rolled back"),"Yes","No")</f>
        <v/>
      </c>
      <c r="Y209" s="15">
        <f>IF(X209="Yes","Completed",IF(H209="","No deadline",IF(NOT(ISNUMBER(H209)),"Check date",IF(H209&lt;Overview!$I$3,"Overdue",IF(H209&lt;=Overview!$I$3+7,"Due soon","On track")))))</f>
        <v/>
      </c>
      <c r="Z209" s="37">
        <f>IF(AND(X209&lt;&gt;"Yes",ISNUMBER(H209)),MAX(0,Overview!$I$3-H209),0)</f>
        <v/>
      </c>
      <c r="AA209" s="5" t="inlineStr">
        <is>
          <t>Librarian</t>
        </is>
      </c>
      <c r="AB209" t="inlineStr">
        <is>
          <t>/school/library</t>
        </is>
      </c>
    </row>
    <row r="210" ht="35" customHeight="1">
      <c r="A210" s="2" t="inlineStr">
        <is>
          <t>SCR-204</t>
        </is>
      </c>
      <c r="B210" s="5" t="inlineStr">
        <is>
          <t>Renew / Reserve Book</t>
        </is>
      </c>
      <c r="C210" s="5" t="inlineStr">
        <is>
          <t>Library</t>
        </is>
      </c>
      <c r="D210" s="2" t="inlineStr">
        <is>
          <t>Phase 3</t>
        </is>
      </c>
      <c r="E210" s="2" t="inlineStr">
        <is>
          <t>US-0407, US-0408</t>
        </is>
      </c>
      <c r="F210" s="24" t="n"/>
      <c r="G210" s="24" t="n"/>
      <c r="H210" s="32" t="n"/>
      <c r="I210" s="2" t="inlineStr">
        <is>
          <t>Ready</t>
        </is>
      </c>
      <c r="J210" s="33" t="inlineStr">
        <is>
          <t>Done</t>
        </is>
      </c>
      <c r="K210" s="33" t="inlineStr">
        <is>
          <t>Done</t>
        </is>
      </c>
      <c r="L210" s="24" t="inlineStr">
        <is>
          <t>Not assessed</t>
        </is>
      </c>
      <c r="M210" s="24" t="inlineStr">
        <is>
          <t>Not assessed</t>
        </is>
      </c>
      <c r="N210" s="24" t="inlineStr">
        <is>
          <t>Not assessed</t>
        </is>
      </c>
      <c r="O210" s="35" t="n"/>
      <c r="P210" s="24" t="inlineStr">
        <is>
          <t>Not scheduled</t>
        </is>
      </c>
      <c r="Q210" s="24" t="n"/>
      <c r="R210" s="24" t="inlineStr">
        <is>
          <t>Renew, reserve, queue and holds</t>
        </is>
      </c>
      <c r="S210" s="24" t="n"/>
      <c r="T210" s="24" t="n"/>
      <c r="U210" s="36" t="n">
        <v>46285</v>
      </c>
      <c r="V210" s="24" t="n"/>
      <c r="W210" s="15">
        <f>IF(P210="Production",IF(X210="Yes","Released","Review release"),IF(P210="Rolled back","Rolled back",IF(OR(Q210&lt;&gt;"",COUNTIFS(J210:N210,"Blocked")&gt;0),"Blocked",IF(OR(M210="Failed",N210="Rejected",AND(ISNUMBER(O210),O210&gt;0)),"Rework",IF(X210="Yes","Ready for release",IF(N210="Accepted","Verify completion",IF(OR(M210="Passed",M210="In progress",N210="In review"),"Testing / review",IF(OR(COUNTIFS(J210:L210,"In progress")&gt;0,COUNTIFS(J210:L210,"In review")&gt;0,COUNTIFS(J210:L210,"Done")&gt;0),"In progress",IF(COUNTIFS(J210:N210,"Not assessed")=5,"Not assessed","Planned")))))))))</f>
        <v/>
      </c>
      <c r="X210" s="15">
        <f>IF(AND(J210="Done",OR(K210="Done",K210="Not required"),OR(L210="Done",L210="Not required"),M210="Passed",N210="Accepted",ISNUMBER(O210),O210=0,Q210="",F210&lt;&gt;"",S210&lt;&gt;"",T210&lt;&gt;"",ISNUMBER(U210),OR(AND(K210&lt;&gt;"Not required",L210&lt;&gt;"Not required"),V210&lt;&gt;""),P210&lt;&gt;"Rolled back"),"Yes","No")</f>
        <v/>
      </c>
      <c r="Y210" s="15">
        <f>IF(X210="Yes","Completed",IF(H210="","No deadline",IF(NOT(ISNUMBER(H210)),"Check date",IF(H210&lt;Overview!$I$3,"Overdue",IF(H210&lt;=Overview!$I$3+7,"Due soon","On track")))))</f>
        <v/>
      </c>
      <c r="Z210" s="37">
        <f>IF(AND(X210&lt;&gt;"Yes",ISNUMBER(H210)),MAX(0,Overview!$I$3-H210),0)</f>
        <v/>
      </c>
      <c r="AA210" s="5" t="inlineStr">
        <is>
          <t>Librarian</t>
        </is>
      </c>
      <c r="AB210" t="inlineStr">
        <is>
          <t>/school/library/reservations</t>
        </is>
      </c>
    </row>
    <row r="211" ht="35" customHeight="1">
      <c r="A211" s="2" t="inlineStr">
        <is>
          <t>SCR-205</t>
        </is>
      </c>
      <c r="B211" s="5" t="inlineStr">
        <is>
          <t>Fine / Lost / Damaged Book</t>
        </is>
      </c>
      <c r="C211" s="5" t="inlineStr">
        <is>
          <t>Library</t>
        </is>
      </c>
      <c r="D211" s="2" t="inlineStr">
        <is>
          <t>Phase 3</t>
        </is>
      </c>
      <c r="E211" s="2" t="inlineStr">
        <is>
          <t>US-0409, US-0410</t>
        </is>
      </c>
      <c r="F211" s="24" t="n"/>
      <c r="G211" s="24" t="n"/>
      <c r="H211" s="32" t="n"/>
      <c r="I211" s="2" t="inlineStr">
        <is>
          <t>Ready</t>
        </is>
      </c>
      <c r="J211" s="33" t="inlineStr">
        <is>
          <t>Done</t>
        </is>
      </c>
      <c r="K211" s="33" t="inlineStr">
        <is>
          <t>Done</t>
        </is>
      </c>
      <c r="L211" s="24" t="inlineStr">
        <is>
          <t>Not assessed</t>
        </is>
      </c>
      <c r="M211" s="24" t="inlineStr">
        <is>
          <t>Not assessed</t>
        </is>
      </c>
      <c r="N211" s="24" t="inlineStr">
        <is>
          <t>Not assessed</t>
        </is>
      </c>
      <c r="O211" s="35" t="n"/>
      <c r="P211" s="24" t="inlineStr">
        <is>
          <t>Not scheduled</t>
        </is>
      </c>
      <c r="Q211" s="24" t="n"/>
      <c r="R211" s="24" t="inlineStr">
        <is>
          <t>Collect, waive, bill; lost and damaged</t>
        </is>
      </c>
      <c r="S211" s="24" t="n"/>
      <c r="T211" s="24" t="n"/>
      <c r="U211" s="36" t="n">
        <v>46285</v>
      </c>
      <c r="V211" s="24" t="n"/>
      <c r="W211" s="15">
        <f>IF(P211="Production",IF(X211="Yes","Released","Review release"),IF(P211="Rolled back","Rolled back",IF(OR(Q211&lt;&gt;"",COUNTIFS(J211:N211,"Blocked")&gt;0),"Blocked",IF(OR(M211="Failed",N211="Rejected",AND(ISNUMBER(O211),O211&gt;0)),"Rework",IF(X211="Yes","Ready for release",IF(N211="Accepted","Verify completion",IF(OR(M211="Passed",M211="In progress",N211="In review"),"Testing / review",IF(OR(COUNTIFS(J211:L211,"In progress")&gt;0,COUNTIFS(J211:L211,"In review")&gt;0,COUNTIFS(J211:L211,"Done")&gt;0),"In progress",IF(COUNTIFS(J211:N211,"Not assessed")=5,"Not assessed","Planned")))))))))</f>
        <v/>
      </c>
      <c r="X211" s="15">
        <f>IF(AND(J211="Done",OR(K211="Done",K211="Not required"),OR(L211="Done",L211="Not required"),M211="Passed",N211="Accepted",ISNUMBER(O211),O211=0,Q211="",F211&lt;&gt;"",S211&lt;&gt;"",T211&lt;&gt;"",ISNUMBER(U211),OR(AND(K211&lt;&gt;"Not required",L211&lt;&gt;"Not required"),V211&lt;&gt;""),P211&lt;&gt;"Rolled back"),"Yes","No")</f>
        <v/>
      </c>
      <c r="Y211" s="15">
        <f>IF(X211="Yes","Completed",IF(H211="","No deadline",IF(NOT(ISNUMBER(H211)),"Check date",IF(H211&lt;Overview!$I$3,"Overdue",IF(H211&lt;=Overview!$I$3+7,"Due soon","On track")))))</f>
        <v/>
      </c>
      <c r="Z211" s="37">
        <f>IF(AND(X211&lt;&gt;"Yes",ISNUMBER(H211)),MAX(0,Overview!$I$3-H211),0)</f>
        <v/>
      </c>
      <c r="AA211" s="5" t="inlineStr">
        <is>
          <t>Librarian</t>
        </is>
      </c>
      <c r="AB211" t="inlineStr">
        <is>
          <t>/school/library</t>
        </is>
      </c>
    </row>
    <row r="212" ht="35" customHeight="1">
      <c r="A212" s="2" t="inlineStr">
        <is>
          <t>SCR-206</t>
        </is>
      </c>
      <c r="B212" s="5" t="inlineStr">
        <is>
          <t>Digital Library</t>
        </is>
      </c>
      <c r="C212" s="5" t="inlineStr">
        <is>
          <t>Library</t>
        </is>
      </c>
      <c r="D212" s="2" t="inlineStr">
        <is>
          <t>Phase 3</t>
        </is>
      </c>
      <c r="E212" s="2" t="inlineStr">
        <is>
          <t>US-0411, US-0412</t>
        </is>
      </c>
      <c r="F212" s="24" t="n"/>
      <c r="G212" s="24" t="n"/>
      <c r="H212" s="32" t="n"/>
      <c r="I212" s="2" t="inlineStr">
        <is>
          <t>Ready</t>
        </is>
      </c>
      <c r="J212" s="38" t="inlineStr">
        <is>
          <t>In progress</t>
        </is>
      </c>
      <c r="K212" s="38" t="inlineStr">
        <is>
          <t>In progress</t>
        </is>
      </c>
      <c r="L212" s="24" t="inlineStr">
        <is>
          <t>Not assessed</t>
        </is>
      </c>
      <c r="M212" s="24" t="inlineStr">
        <is>
          <t>Not assessed</t>
        </is>
      </c>
      <c r="N212" s="24" t="inlineStr">
        <is>
          <t>Not assessed</t>
        </is>
      </c>
      <c r="O212" s="35" t="n"/>
      <c r="P212" s="24" t="inlineStr">
        <is>
          <t>Not scheduled</t>
        </is>
      </c>
      <c r="Q212" s="24" t="n"/>
      <c r="R212" s="24" t="inlineStr">
        <is>
          <t>A URL field only; no reader or entitlements</t>
        </is>
      </c>
      <c r="S212" s="24" t="n"/>
      <c r="T212" s="24" t="n"/>
      <c r="U212" s="36" t="n">
        <v>46285</v>
      </c>
      <c r="V212" s="24" t="n"/>
      <c r="W212" s="15">
        <f>IF(P212="Production",IF(X212="Yes","Released","Review release"),IF(P212="Rolled back","Rolled back",IF(OR(Q212&lt;&gt;"",COUNTIFS(J212:N212,"Blocked")&gt;0),"Blocked",IF(OR(M212="Failed",N212="Rejected",AND(ISNUMBER(O212),O212&gt;0)),"Rework",IF(X212="Yes","Ready for release",IF(N212="Accepted","Verify completion",IF(OR(M212="Passed",M212="In progress",N212="In review"),"Testing / review",IF(OR(COUNTIFS(J212:L212,"In progress")&gt;0,COUNTIFS(J212:L212,"In review")&gt;0,COUNTIFS(J212:L212,"Done")&gt;0),"In progress",IF(COUNTIFS(J212:N212,"Not assessed")=5,"Not assessed","Planned")))))))))</f>
        <v/>
      </c>
      <c r="X212" s="15">
        <f>IF(AND(J212="Done",OR(K212="Done",K212="Not required"),OR(L212="Done",L212="Not required"),M212="Passed",N212="Accepted",ISNUMBER(O212),O212=0,Q212="",F212&lt;&gt;"",S212&lt;&gt;"",T212&lt;&gt;"",ISNUMBER(U212),OR(AND(K212&lt;&gt;"Not required",L212&lt;&gt;"Not required"),V212&lt;&gt;""),P212&lt;&gt;"Rolled back"),"Yes","No")</f>
        <v/>
      </c>
      <c r="Y212" s="15">
        <f>IF(X212="Yes","Completed",IF(H212="","No deadline",IF(NOT(ISNUMBER(H212)),"Check date",IF(H212&lt;Overview!$I$3,"Overdue",IF(H212&lt;=Overview!$I$3+7,"Due soon","On track")))))</f>
        <v/>
      </c>
      <c r="Z212" s="37">
        <f>IF(AND(X212&lt;&gt;"Yes",ISNUMBER(H212)),MAX(0,Overview!$I$3-H212),0)</f>
        <v/>
      </c>
      <c r="AA212" s="5" t="inlineStr">
        <is>
          <t>Librarian</t>
        </is>
      </c>
      <c r="AB212" t="inlineStr">
        <is>
          <t>/school/library/catalogue</t>
        </is>
      </c>
    </row>
    <row r="213" ht="35" customHeight="1">
      <c r="A213" s="2" t="inlineStr">
        <is>
          <t>SCR-207</t>
        </is>
      </c>
      <c r="B213" s="5" t="inlineStr">
        <is>
          <t>Library Reports</t>
        </is>
      </c>
      <c r="C213" s="5" t="inlineStr">
        <is>
          <t>Library</t>
        </is>
      </c>
      <c r="D213" s="2" t="inlineStr">
        <is>
          <t>Phase 3</t>
        </is>
      </c>
      <c r="E213" s="2" t="inlineStr">
        <is>
          <t>US-0413, US-0414</t>
        </is>
      </c>
      <c r="F213" s="24" t="n"/>
      <c r="G213" s="24" t="n"/>
      <c r="H213" s="32" t="n"/>
      <c r="I213" s="2" t="inlineStr">
        <is>
          <t>Ready</t>
        </is>
      </c>
      <c r="J213" s="38" t="inlineStr">
        <is>
          <t>In progress</t>
        </is>
      </c>
      <c r="K213" s="38" t="inlineStr">
        <is>
          <t>In progress</t>
        </is>
      </c>
      <c r="L213" s="24" t="inlineStr">
        <is>
          <t>Not assessed</t>
        </is>
      </c>
      <c r="M213" s="24" t="inlineStr">
        <is>
          <t>Not assessed</t>
        </is>
      </c>
      <c r="N213" s="24" t="inlineStr">
        <is>
          <t>Not assessed</t>
        </is>
      </c>
      <c r="O213" s="35" t="n"/>
      <c r="P213" s="24" t="inlineStr">
        <is>
          <t>Not scheduled</t>
        </is>
      </c>
      <c r="Q213" s="24" t="n"/>
      <c r="R213" s="24" t="inlineStr">
        <is>
          <t>Stat tiles only; no date range or export</t>
        </is>
      </c>
      <c r="S213" s="24" t="n"/>
      <c r="T213" s="24" t="n"/>
      <c r="U213" s="36" t="n">
        <v>46285</v>
      </c>
      <c r="V213" s="24" t="n"/>
      <c r="W213" s="15">
        <f>IF(P213="Production",IF(X213="Yes","Released","Review release"),IF(P213="Rolled back","Rolled back",IF(OR(Q213&lt;&gt;"",COUNTIFS(J213:N213,"Blocked")&gt;0),"Blocked",IF(OR(M213="Failed",N213="Rejected",AND(ISNUMBER(O213),O213&gt;0)),"Rework",IF(X213="Yes","Ready for release",IF(N213="Accepted","Verify completion",IF(OR(M213="Passed",M213="In progress",N213="In review"),"Testing / review",IF(OR(COUNTIFS(J213:L213,"In progress")&gt;0,COUNTIFS(J213:L213,"In review")&gt;0,COUNTIFS(J213:L213,"Done")&gt;0),"In progress",IF(COUNTIFS(J213:N213,"Not assessed")=5,"Not assessed","Planned")))))))))</f>
        <v/>
      </c>
      <c r="X213" s="15">
        <f>IF(AND(J213="Done",OR(K213="Done",K213="Not required"),OR(L213="Done",L213="Not required"),M213="Passed",N213="Accepted",ISNUMBER(O213),O213=0,Q213="",F213&lt;&gt;"",S213&lt;&gt;"",T213&lt;&gt;"",ISNUMBER(U213),OR(AND(K213&lt;&gt;"Not required",L213&lt;&gt;"Not required"),V213&lt;&gt;""),P213&lt;&gt;"Rolled back"),"Yes","No")</f>
        <v/>
      </c>
      <c r="Y213" s="15">
        <f>IF(X213="Yes","Completed",IF(H213="","No deadline",IF(NOT(ISNUMBER(H213)),"Check date",IF(H213&lt;Overview!$I$3,"Overdue",IF(H213&lt;=Overview!$I$3+7,"Due soon","On track")))))</f>
        <v/>
      </c>
      <c r="Z213" s="37">
        <f>IF(AND(X213&lt;&gt;"Yes",ISNUMBER(H213)),MAX(0,Overview!$I$3-H213),0)</f>
        <v/>
      </c>
      <c r="AA213" s="5" t="inlineStr">
        <is>
          <t>Librarian</t>
        </is>
      </c>
      <c r="AB213" t="inlineStr">
        <is>
          <t>/school/library</t>
        </is>
      </c>
    </row>
    <row r="214" ht="35" customHeight="1">
      <c r="A214" s="2" t="inlineStr">
        <is>
          <t>SCR-208</t>
        </is>
      </c>
      <c r="B214" s="5" t="inlineStr">
        <is>
          <t>Hostels / Buildings</t>
        </is>
      </c>
      <c r="C214" s="5" t="inlineStr">
        <is>
          <t>Hostel</t>
        </is>
      </c>
      <c r="D214" s="2" t="inlineStr">
        <is>
          <t>Phase 2</t>
        </is>
      </c>
      <c r="E214" s="2" t="inlineStr">
        <is>
          <t>US-0415, US-0416</t>
        </is>
      </c>
      <c r="F214" s="24" t="n"/>
      <c r="G214" s="24" t="n"/>
      <c r="H214" s="32" t="n"/>
      <c r="I214" s="2" t="inlineStr">
        <is>
          <t>Ready</t>
        </is>
      </c>
      <c r="J214" s="33" t="inlineStr">
        <is>
          <t>Done</t>
        </is>
      </c>
      <c r="K214" s="33" t="inlineStr">
        <is>
          <t>Done</t>
        </is>
      </c>
      <c r="L214" s="24" t="inlineStr">
        <is>
          <t>Not assessed</t>
        </is>
      </c>
      <c r="M214" s="24" t="inlineStr">
        <is>
          <t>Not assessed</t>
        </is>
      </c>
      <c r="N214" s="24" t="inlineStr">
        <is>
          <t>Not assessed</t>
        </is>
      </c>
      <c r="O214" s="35" t="n"/>
      <c r="P214" s="24" t="inlineStr">
        <is>
          <t>Not scheduled</t>
        </is>
      </c>
      <c r="Q214" s="24" t="n"/>
      <c r="R214" s="24" t="inlineStr">
        <is>
          <t>Hostel cards with kind, warden, fee, curfew</t>
        </is>
      </c>
      <c r="S214" s="24" t="n"/>
      <c r="T214" s="24" t="n"/>
      <c r="U214" s="36" t="n">
        <v>46285</v>
      </c>
      <c r="V214" s="24" t="n"/>
      <c r="W214" s="15">
        <f>IF(P214="Production",IF(X214="Yes","Released","Review release"),IF(P214="Rolled back","Rolled back",IF(OR(Q214&lt;&gt;"",COUNTIFS(J214:N214,"Blocked")&gt;0),"Blocked",IF(OR(M214="Failed",N214="Rejected",AND(ISNUMBER(O214),O214&gt;0)),"Rework",IF(X214="Yes","Ready for release",IF(N214="Accepted","Verify completion",IF(OR(M214="Passed",M214="In progress",N214="In review"),"Testing / review",IF(OR(COUNTIFS(J214:L214,"In progress")&gt;0,COUNTIFS(J214:L214,"In review")&gt;0,COUNTIFS(J214:L214,"Done")&gt;0),"In progress",IF(COUNTIFS(J214:N214,"Not assessed")=5,"Not assessed","Planned")))))))))</f>
        <v/>
      </c>
      <c r="X214" s="15">
        <f>IF(AND(J214="Done",OR(K214="Done",K214="Not required"),OR(L214="Done",L214="Not required"),M214="Passed",N214="Accepted",ISNUMBER(O214),O214=0,Q214="",F214&lt;&gt;"",S214&lt;&gt;"",T214&lt;&gt;"",ISNUMBER(U214),OR(AND(K214&lt;&gt;"Not required",L214&lt;&gt;"Not required"),V214&lt;&gt;""),P214&lt;&gt;"Rolled back"),"Yes","No")</f>
        <v/>
      </c>
      <c r="Y214" s="15">
        <f>IF(X214="Yes","Completed",IF(H214="","No deadline",IF(NOT(ISNUMBER(H214)),"Check date",IF(H214&lt;Overview!$I$3,"Overdue",IF(H214&lt;=Overview!$I$3+7,"Due soon","On track")))))</f>
        <v/>
      </c>
      <c r="Z214" s="37">
        <f>IF(AND(X214&lt;&gt;"Yes",ISNUMBER(H214)),MAX(0,Overview!$I$3-H214),0)</f>
        <v/>
      </c>
      <c r="AA214" s="5" t="inlineStr">
        <is>
          <t>Hostel Warden</t>
        </is>
      </c>
      <c r="AB214" t="inlineStr">
        <is>
          <t>/school/hostel</t>
        </is>
      </c>
    </row>
    <row r="215" ht="35" customHeight="1">
      <c r="A215" s="2" t="inlineStr">
        <is>
          <t>SCR-209</t>
        </is>
      </c>
      <c r="B215" s="5" t="inlineStr">
        <is>
          <t>Rooms &amp; Beds</t>
        </is>
      </c>
      <c r="C215" s="5" t="inlineStr">
        <is>
          <t>Hostel</t>
        </is>
      </c>
      <c r="D215" s="2" t="inlineStr">
        <is>
          <t>Phase 2</t>
        </is>
      </c>
      <c r="E215" s="2" t="inlineStr">
        <is>
          <t>US-0417, US-0418</t>
        </is>
      </c>
      <c r="F215" s="24" t="n"/>
      <c r="G215" s="24" t="n"/>
      <c r="H215" s="32" t="n"/>
      <c r="I215" s="2" t="inlineStr">
        <is>
          <t>Ready</t>
        </is>
      </c>
      <c r="J215" s="33" t="inlineStr">
        <is>
          <t>Done</t>
        </is>
      </c>
      <c r="K215" s="33" t="inlineStr">
        <is>
          <t>Done</t>
        </is>
      </c>
      <c r="L215" s="24" t="inlineStr">
        <is>
          <t>Not assessed</t>
        </is>
      </c>
      <c r="M215" s="24" t="inlineStr">
        <is>
          <t>Not assessed</t>
        </is>
      </c>
      <c r="N215" s="24" t="inlineStr">
        <is>
          <t>Not assessed</t>
        </is>
      </c>
      <c r="O215" s="35" t="n"/>
      <c r="P215" s="24" t="inlineStr">
        <is>
          <t>Not scheduled</t>
        </is>
      </c>
      <c r="Q215" s="24" t="n"/>
      <c r="R215" s="24" t="inlineStr">
        <is>
          <t>Rooms with bed count and occupancy grid</t>
        </is>
      </c>
      <c r="S215" s="24" t="n"/>
      <c r="T215" s="24" t="n"/>
      <c r="U215" s="36" t="n">
        <v>46285</v>
      </c>
      <c r="V215" s="24" t="n"/>
      <c r="W215" s="15">
        <f>IF(P215="Production",IF(X215="Yes","Released","Review release"),IF(P215="Rolled back","Rolled back",IF(OR(Q215&lt;&gt;"",COUNTIFS(J215:N215,"Blocked")&gt;0),"Blocked",IF(OR(M215="Failed",N215="Rejected",AND(ISNUMBER(O215),O215&gt;0)),"Rework",IF(X215="Yes","Ready for release",IF(N215="Accepted","Verify completion",IF(OR(M215="Passed",M215="In progress",N215="In review"),"Testing / review",IF(OR(COUNTIFS(J215:L215,"In progress")&gt;0,COUNTIFS(J215:L215,"In review")&gt;0,COUNTIFS(J215:L215,"Done")&gt;0),"In progress",IF(COUNTIFS(J215:N215,"Not assessed")=5,"Not assessed","Planned")))))))))</f>
        <v/>
      </c>
      <c r="X215" s="15">
        <f>IF(AND(J215="Done",OR(K215="Done",K215="Not required"),OR(L215="Done",L215="Not required"),M215="Passed",N215="Accepted",ISNUMBER(O215),O215=0,Q215="",F215&lt;&gt;"",S215&lt;&gt;"",T215&lt;&gt;"",ISNUMBER(U215),OR(AND(K215&lt;&gt;"Not required",L215&lt;&gt;"Not required"),V215&lt;&gt;""),P215&lt;&gt;"Rolled back"),"Yes","No")</f>
        <v/>
      </c>
      <c r="Y215" s="15">
        <f>IF(X215="Yes","Completed",IF(H215="","No deadline",IF(NOT(ISNUMBER(H215)),"Check date",IF(H215&lt;Overview!$I$3,"Overdue",IF(H215&lt;=Overview!$I$3+7,"Due soon","On track")))))</f>
        <v/>
      </c>
      <c r="Z215" s="37">
        <f>IF(AND(X215&lt;&gt;"Yes",ISNUMBER(H215)),MAX(0,Overview!$I$3-H215),0)</f>
        <v/>
      </c>
      <c r="AA215" s="5" t="inlineStr">
        <is>
          <t>Hostel Warden</t>
        </is>
      </c>
      <c r="AB215" t="inlineStr">
        <is>
          <t>/school/hostel</t>
        </is>
      </c>
    </row>
    <row r="216" ht="35" customHeight="1">
      <c r="A216" s="2" t="inlineStr">
        <is>
          <t>SCR-210</t>
        </is>
      </c>
      <c r="B216" s="5" t="inlineStr">
        <is>
          <t>Student Hostel Allocation</t>
        </is>
      </c>
      <c r="C216" s="5" t="inlineStr">
        <is>
          <t>Hostel</t>
        </is>
      </c>
      <c r="D216" s="2" t="inlineStr">
        <is>
          <t>Phase 3</t>
        </is>
      </c>
      <c r="E216" s="2" t="inlineStr">
        <is>
          <t>US-0419, US-0420</t>
        </is>
      </c>
      <c r="F216" s="24" t="n"/>
      <c r="G216" s="24" t="n"/>
      <c r="H216" s="32" t="n"/>
      <c r="I216" s="2" t="inlineStr">
        <is>
          <t>Ready</t>
        </is>
      </c>
      <c r="J216" s="38" t="inlineStr">
        <is>
          <t>In progress</t>
        </is>
      </c>
      <c r="K216" s="33" t="inlineStr">
        <is>
          <t>Done</t>
        </is>
      </c>
      <c r="L216" s="24" t="inlineStr">
        <is>
          <t>Not assessed</t>
        </is>
      </c>
      <c r="M216" s="24" t="inlineStr">
        <is>
          <t>Not assessed</t>
        </is>
      </c>
      <c r="N216" s="24" t="inlineStr">
        <is>
          <t>Not assessed</t>
        </is>
      </c>
      <c r="O216" s="35" t="n"/>
      <c r="P216" s="24" t="inlineStr">
        <is>
          <t>Not scheduled</t>
        </is>
      </c>
      <c r="Q216" s="24" t="n"/>
      <c r="R216" s="24" t="inlineStr">
        <is>
          <t>Bed by bed only; no allocation register</t>
        </is>
      </c>
      <c r="S216" s="24" t="n"/>
      <c r="T216" s="24" t="n"/>
      <c r="U216" s="36" t="n">
        <v>46285</v>
      </c>
      <c r="V216" s="24" t="n"/>
      <c r="W216" s="15">
        <f>IF(P216="Production",IF(X216="Yes","Released","Review release"),IF(P216="Rolled back","Rolled back",IF(OR(Q216&lt;&gt;"",COUNTIFS(J216:N216,"Blocked")&gt;0),"Blocked",IF(OR(M216="Failed",N216="Rejected",AND(ISNUMBER(O216),O216&gt;0)),"Rework",IF(X216="Yes","Ready for release",IF(N216="Accepted","Verify completion",IF(OR(M216="Passed",M216="In progress",N216="In review"),"Testing / review",IF(OR(COUNTIFS(J216:L216,"In progress")&gt;0,COUNTIFS(J216:L216,"In review")&gt;0,COUNTIFS(J216:L216,"Done")&gt;0),"In progress",IF(COUNTIFS(J216:N216,"Not assessed")=5,"Not assessed","Planned")))))))))</f>
        <v/>
      </c>
      <c r="X216" s="15">
        <f>IF(AND(J216="Done",OR(K216="Done",K216="Not required"),OR(L216="Done",L216="Not required"),M216="Passed",N216="Accepted",ISNUMBER(O216),O216=0,Q216="",F216&lt;&gt;"",S216&lt;&gt;"",T216&lt;&gt;"",ISNUMBER(U216),OR(AND(K216&lt;&gt;"Not required",L216&lt;&gt;"Not required"),V216&lt;&gt;""),P216&lt;&gt;"Rolled back"),"Yes","No")</f>
        <v/>
      </c>
      <c r="Y216" s="15">
        <f>IF(X216="Yes","Completed",IF(H216="","No deadline",IF(NOT(ISNUMBER(H216)),"Check date",IF(H216&lt;Overview!$I$3,"Overdue",IF(H216&lt;=Overview!$I$3+7,"Due soon","On track")))))</f>
        <v/>
      </c>
      <c r="Z216" s="37">
        <f>IF(AND(X216&lt;&gt;"Yes",ISNUMBER(H216)),MAX(0,Overview!$I$3-H216),0)</f>
        <v/>
      </c>
      <c r="AA216" s="5" t="inlineStr">
        <is>
          <t>Hostel Warden</t>
        </is>
      </c>
      <c r="AB216" t="inlineStr">
        <is>
          <t>/school/hostel</t>
        </is>
      </c>
    </row>
    <row r="217" ht="35" customHeight="1">
      <c r="A217" s="2" t="inlineStr">
        <is>
          <t>SCR-211</t>
        </is>
      </c>
      <c r="B217" s="5" t="inlineStr">
        <is>
          <t>Warden Management</t>
        </is>
      </c>
      <c r="C217" s="5" t="inlineStr">
        <is>
          <t>Hostel</t>
        </is>
      </c>
      <c r="D217" s="2" t="inlineStr">
        <is>
          <t>Phase 3</t>
        </is>
      </c>
      <c r="E217" s="2" t="inlineStr">
        <is>
          <t>US-0421, US-0422</t>
        </is>
      </c>
      <c r="F217" s="24" t="n"/>
      <c r="G217" s="24" t="n"/>
      <c r="H217" s="32" t="n"/>
      <c r="I217" s="2" t="inlineStr">
        <is>
          <t>Ready</t>
        </is>
      </c>
      <c r="J217" s="38" t="inlineStr">
        <is>
          <t>In progress</t>
        </is>
      </c>
      <c r="K217" s="38" t="inlineStr">
        <is>
          <t>In progress</t>
        </is>
      </c>
      <c r="L217" s="24" t="inlineStr">
        <is>
          <t>Not assessed</t>
        </is>
      </c>
      <c r="M217" s="24" t="inlineStr">
        <is>
          <t>Not assessed</t>
        </is>
      </c>
      <c r="N217" s="24" t="inlineStr">
        <is>
          <t>Not assessed</t>
        </is>
      </c>
      <c r="O217" s="35" t="n"/>
      <c r="P217" s="24" t="inlineStr">
        <is>
          <t>Not scheduled</t>
        </is>
      </c>
      <c r="Q217" s="24" t="n"/>
      <c r="R217" s="24" t="inlineStr">
        <is>
          <t>Single warden field, no duty roster</t>
        </is>
      </c>
      <c r="S217" s="24" t="n"/>
      <c r="T217" s="24" t="n"/>
      <c r="U217" s="36" t="n">
        <v>46285</v>
      </c>
      <c r="V217" s="24" t="n"/>
      <c r="W217" s="15">
        <f>IF(P217="Production",IF(X217="Yes","Released","Review release"),IF(P217="Rolled back","Rolled back",IF(OR(Q217&lt;&gt;"",COUNTIFS(J217:N217,"Blocked")&gt;0),"Blocked",IF(OR(M217="Failed",N217="Rejected",AND(ISNUMBER(O217),O217&gt;0)),"Rework",IF(X217="Yes","Ready for release",IF(N217="Accepted","Verify completion",IF(OR(M217="Passed",M217="In progress",N217="In review"),"Testing / review",IF(OR(COUNTIFS(J217:L217,"In progress")&gt;0,COUNTIFS(J217:L217,"In review")&gt;0,COUNTIFS(J217:L217,"Done")&gt;0),"In progress",IF(COUNTIFS(J217:N217,"Not assessed")=5,"Not assessed","Planned")))))))))</f>
        <v/>
      </c>
      <c r="X217" s="15">
        <f>IF(AND(J217="Done",OR(K217="Done",K217="Not required"),OR(L217="Done",L217="Not required"),M217="Passed",N217="Accepted",ISNUMBER(O217),O217=0,Q217="",F217&lt;&gt;"",S217&lt;&gt;"",T217&lt;&gt;"",ISNUMBER(U217),OR(AND(K217&lt;&gt;"Not required",L217&lt;&gt;"Not required"),V217&lt;&gt;""),P217&lt;&gt;"Rolled back"),"Yes","No")</f>
        <v/>
      </c>
      <c r="Y217" s="15">
        <f>IF(X217="Yes","Completed",IF(H217="","No deadline",IF(NOT(ISNUMBER(H217)),"Check date",IF(H217&lt;Overview!$I$3,"Overdue",IF(H217&lt;=Overview!$I$3+7,"Due soon","On track")))))</f>
        <v/>
      </c>
      <c r="Z217" s="37">
        <f>IF(AND(X217&lt;&gt;"Yes",ISNUMBER(H217)),MAX(0,Overview!$I$3-H217),0)</f>
        <v/>
      </c>
      <c r="AA217" s="5" t="inlineStr">
        <is>
          <t>Hostel Warden</t>
        </is>
      </c>
      <c r="AB217" t="inlineStr">
        <is>
          <t>/school/hostel</t>
        </is>
      </c>
    </row>
    <row r="218" ht="35" customHeight="1">
      <c r="A218" s="2" t="inlineStr">
        <is>
          <t>SCR-212</t>
        </is>
      </c>
      <c r="B218" s="5" t="inlineStr">
        <is>
          <t>Hostel Attendance</t>
        </is>
      </c>
      <c r="C218" s="5" t="inlineStr">
        <is>
          <t>Hostel</t>
        </is>
      </c>
      <c r="D218" s="2" t="inlineStr">
        <is>
          <t>Phase 3</t>
        </is>
      </c>
      <c r="E218" s="2" t="inlineStr">
        <is>
          <t>US-0423, US-0424</t>
        </is>
      </c>
      <c r="F218" s="24" t="n"/>
      <c r="G218" s="24" t="n"/>
      <c r="H218" s="32" t="n"/>
      <c r="I218" s="2" t="inlineStr">
        <is>
          <t>Ready</t>
        </is>
      </c>
      <c r="J218" s="33" t="inlineStr">
        <is>
          <t>Done</t>
        </is>
      </c>
      <c r="K218" s="33" t="inlineStr">
        <is>
          <t>Done</t>
        </is>
      </c>
      <c r="L218" s="24" t="inlineStr">
        <is>
          <t>Not assessed</t>
        </is>
      </c>
      <c r="M218" s="24" t="inlineStr">
        <is>
          <t>Not assessed</t>
        </is>
      </c>
      <c r="N218" s="24" t="inlineStr">
        <is>
          <t>Not assessed</t>
        </is>
      </c>
      <c r="O218" s="35" t="n"/>
      <c r="P218" s="24" t="inlineStr">
        <is>
          <t>Not scheduled</t>
        </is>
      </c>
      <c r="Q218" s="24" t="n"/>
      <c r="R218" s="24" t="inlineStr">
        <is>
          <t>Morning and night roll call</t>
        </is>
      </c>
      <c r="S218" s="24" t="n"/>
      <c r="T218" s="24" t="n"/>
      <c r="U218" s="36" t="n">
        <v>46285</v>
      </c>
      <c r="V218" s="24" t="n"/>
      <c r="W218" s="15">
        <f>IF(P218="Production",IF(X218="Yes","Released","Review release"),IF(P218="Rolled back","Rolled back",IF(OR(Q218&lt;&gt;"",COUNTIFS(J218:N218,"Blocked")&gt;0),"Blocked",IF(OR(M218="Failed",N218="Rejected",AND(ISNUMBER(O218),O218&gt;0)),"Rework",IF(X218="Yes","Ready for release",IF(N218="Accepted","Verify completion",IF(OR(M218="Passed",M218="In progress",N218="In review"),"Testing / review",IF(OR(COUNTIFS(J218:L218,"In progress")&gt;0,COUNTIFS(J218:L218,"In review")&gt;0,COUNTIFS(J218:L218,"Done")&gt;0),"In progress",IF(COUNTIFS(J218:N218,"Not assessed")=5,"Not assessed","Planned")))))))))</f>
        <v/>
      </c>
      <c r="X218" s="15">
        <f>IF(AND(J218="Done",OR(K218="Done",K218="Not required"),OR(L218="Done",L218="Not required"),M218="Passed",N218="Accepted",ISNUMBER(O218),O218=0,Q218="",F218&lt;&gt;"",S218&lt;&gt;"",T218&lt;&gt;"",ISNUMBER(U218),OR(AND(K218&lt;&gt;"Not required",L218&lt;&gt;"Not required"),V218&lt;&gt;""),P218&lt;&gt;"Rolled back"),"Yes","No")</f>
        <v/>
      </c>
      <c r="Y218" s="15">
        <f>IF(X218="Yes","Completed",IF(H218="","No deadline",IF(NOT(ISNUMBER(H218)),"Check date",IF(H218&lt;Overview!$I$3,"Overdue",IF(H218&lt;=Overview!$I$3+7,"Due soon","On track")))))</f>
        <v/>
      </c>
      <c r="Z218" s="37">
        <f>IF(AND(X218&lt;&gt;"Yes",ISNUMBER(H218)),MAX(0,Overview!$I$3-H218),0)</f>
        <v/>
      </c>
      <c r="AA218" s="5" t="inlineStr">
        <is>
          <t>Hostel Warden</t>
        </is>
      </c>
      <c r="AB218" t="inlineStr">
        <is>
          <t>/school/hostel</t>
        </is>
      </c>
    </row>
    <row r="219" ht="35" customHeight="1">
      <c r="A219" s="2" t="inlineStr">
        <is>
          <t>SCR-213</t>
        </is>
      </c>
      <c r="B219" s="5" t="inlineStr">
        <is>
          <t>Leave / Outing</t>
        </is>
      </c>
      <c r="C219" s="5" t="inlineStr">
        <is>
          <t>Hostel</t>
        </is>
      </c>
      <c r="D219" s="2" t="inlineStr">
        <is>
          <t>Phase 3</t>
        </is>
      </c>
      <c r="E219" s="2" t="inlineStr">
        <is>
          <t>US-0425, US-0426</t>
        </is>
      </c>
      <c r="F219" s="24" t="n"/>
      <c r="G219" s="24" t="n"/>
      <c r="H219" s="32" t="n"/>
      <c r="I219" s="2" t="inlineStr">
        <is>
          <t>Ready</t>
        </is>
      </c>
      <c r="J219" s="33" t="inlineStr">
        <is>
          <t>Done</t>
        </is>
      </c>
      <c r="K219" s="33" t="inlineStr">
        <is>
          <t>Done</t>
        </is>
      </c>
      <c r="L219" s="24" t="inlineStr">
        <is>
          <t>Not assessed</t>
        </is>
      </c>
      <c r="M219" s="24" t="inlineStr">
        <is>
          <t>Not assessed</t>
        </is>
      </c>
      <c r="N219" s="24" t="inlineStr">
        <is>
          <t>Not assessed</t>
        </is>
      </c>
      <c r="O219" s="35" t="n"/>
      <c r="P219" s="24" t="inlineStr">
        <is>
          <t>Not scheduled</t>
        </is>
      </c>
      <c r="Q219" s="24" t="n"/>
      <c r="R219" s="24" t="inlineStr">
        <is>
          <t>Request, approve, signed out, returned</t>
        </is>
      </c>
      <c r="S219" s="24" t="n"/>
      <c r="T219" s="24" t="n"/>
      <c r="U219" s="36" t="n">
        <v>46285</v>
      </c>
      <c r="V219" s="24" t="n"/>
      <c r="W219" s="15">
        <f>IF(P219="Production",IF(X219="Yes","Released","Review release"),IF(P219="Rolled back","Rolled back",IF(OR(Q219&lt;&gt;"",COUNTIFS(J219:N219,"Blocked")&gt;0),"Blocked",IF(OR(M219="Failed",N219="Rejected",AND(ISNUMBER(O219),O219&gt;0)),"Rework",IF(X219="Yes","Ready for release",IF(N219="Accepted","Verify completion",IF(OR(M219="Passed",M219="In progress",N219="In review"),"Testing / review",IF(OR(COUNTIFS(J219:L219,"In progress")&gt;0,COUNTIFS(J219:L219,"In review")&gt;0,COUNTIFS(J219:L219,"Done")&gt;0),"In progress",IF(COUNTIFS(J219:N219,"Not assessed")=5,"Not assessed","Planned")))))))))</f>
        <v/>
      </c>
      <c r="X219" s="15">
        <f>IF(AND(J219="Done",OR(K219="Done",K219="Not required"),OR(L219="Done",L219="Not required"),M219="Passed",N219="Accepted",ISNUMBER(O219),O219=0,Q219="",F219&lt;&gt;"",S219&lt;&gt;"",T219&lt;&gt;"",ISNUMBER(U219),OR(AND(K219&lt;&gt;"Not required",L219&lt;&gt;"Not required"),V219&lt;&gt;""),P219&lt;&gt;"Rolled back"),"Yes","No")</f>
        <v/>
      </c>
      <c r="Y219" s="15">
        <f>IF(X219="Yes","Completed",IF(H219="","No deadline",IF(NOT(ISNUMBER(H219)),"Check date",IF(H219&lt;Overview!$I$3,"Overdue",IF(H219&lt;=Overview!$I$3+7,"Due soon","On track")))))</f>
        <v/>
      </c>
      <c r="Z219" s="37">
        <f>IF(AND(X219&lt;&gt;"Yes",ISNUMBER(H219)),MAX(0,Overview!$I$3-H219),0)</f>
        <v/>
      </c>
      <c r="AA219" s="5" t="inlineStr">
        <is>
          <t>Hostel Warden</t>
        </is>
      </c>
      <c r="AB219" t="inlineStr">
        <is>
          <t>/school/hostel</t>
        </is>
      </c>
    </row>
    <row r="220" ht="35" customHeight="1">
      <c r="A220" s="2" t="inlineStr">
        <is>
          <t>SCR-214</t>
        </is>
      </c>
      <c r="B220" s="5" t="inlineStr">
        <is>
          <t>Mess / Meal Schedule</t>
        </is>
      </c>
      <c r="C220" s="5" t="inlineStr">
        <is>
          <t>Hostel</t>
        </is>
      </c>
      <c r="D220" s="2" t="inlineStr">
        <is>
          <t>Phase 3</t>
        </is>
      </c>
      <c r="E220" s="2" t="inlineStr">
        <is>
          <t>US-0427, US-0428</t>
        </is>
      </c>
      <c r="F220" s="24" t="n"/>
      <c r="G220" s="24" t="n"/>
      <c r="H220" s="32" t="n"/>
      <c r="I220" s="2" t="inlineStr">
        <is>
          <t>Ready</t>
        </is>
      </c>
      <c r="J220" s="33" t="inlineStr">
        <is>
          <t>Done</t>
        </is>
      </c>
      <c r="K220" s="33" t="inlineStr">
        <is>
          <t>Done</t>
        </is>
      </c>
      <c r="L220" s="24" t="inlineStr">
        <is>
          <t>Not assessed</t>
        </is>
      </c>
      <c r="M220" s="24" t="inlineStr">
        <is>
          <t>Not assessed</t>
        </is>
      </c>
      <c r="N220" s="24" t="inlineStr">
        <is>
          <t>Not assessed</t>
        </is>
      </c>
      <c r="O220" s="35" t="n"/>
      <c r="P220" s="24" t="inlineStr">
        <is>
          <t>Not scheduled</t>
        </is>
      </c>
      <c r="Q220" s="24" t="n"/>
      <c r="R220" s="24" t="inlineStr">
        <is>
          <t>Seven-day, four-meal editable grid</t>
        </is>
      </c>
      <c r="S220" s="24" t="n"/>
      <c r="T220" s="24" t="n"/>
      <c r="U220" s="36" t="n">
        <v>46285</v>
      </c>
      <c r="V220" s="24" t="n"/>
      <c r="W220" s="15">
        <f>IF(P220="Production",IF(X220="Yes","Released","Review release"),IF(P220="Rolled back","Rolled back",IF(OR(Q220&lt;&gt;"",COUNTIFS(J220:N220,"Blocked")&gt;0),"Blocked",IF(OR(M220="Failed",N220="Rejected",AND(ISNUMBER(O220),O220&gt;0)),"Rework",IF(X220="Yes","Ready for release",IF(N220="Accepted","Verify completion",IF(OR(M220="Passed",M220="In progress",N220="In review"),"Testing / review",IF(OR(COUNTIFS(J220:L220,"In progress")&gt;0,COUNTIFS(J220:L220,"In review")&gt;0,COUNTIFS(J220:L220,"Done")&gt;0),"In progress",IF(COUNTIFS(J220:N220,"Not assessed")=5,"Not assessed","Planned")))))))))</f>
        <v/>
      </c>
      <c r="X220" s="15">
        <f>IF(AND(J220="Done",OR(K220="Done",K220="Not required"),OR(L220="Done",L220="Not required"),M220="Passed",N220="Accepted",ISNUMBER(O220),O220=0,Q220="",F220&lt;&gt;"",S220&lt;&gt;"",T220&lt;&gt;"",ISNUMBER(U220),OR(AND(K220&lt;&gt;"Not required",L220&lt;&gt;"Not required"),V220&lt;&gt;""),P220&lt;&gt;"Rolled back"),"Yes","No")</f>
        <v/>
      </c>
      <c r="Y220" s="15">
        <f>IF(X220="Yes","Completed",IF(H220="","No deadline",IF(NOT(ISNUMBER(H220)),"Check date",IF(H220&lt;Overview!$I$3,"Overdue",IF(H220&lt;=Overview!$I$3+7,"Due soon","On track")))))</f>
        <v/>
      </c>
      <c r="Z220" s="37">
        <f>IF(AND(X220&lt;&gt;"Yes",ISNUMBER(H220)),MAX(0,Overview!$I$3-H220),0)</f>
        <v/>
      </c>
      <c r="AA220" s="5" t="inlineStr">
        <is>
          <t>Hostel Warden</t>
        </is>
      </c>
      <c r="AB220" t="inlineStr">
        <is>
          <t>/school/hostel</t>
        </is>
      </c>
    </row>
    <row r="221" ht="35" customHeight="1">
      <c r="A221" s="2" t="inlineStr">
        <is>
          <t>SCR-215</t>
        </is>
      </c>
      <c r="B221" s="5" t="inlineStr">
        <is>
          <t>Hostel Complaints &amp; Fees</t>
        </is>
      </c>
      <c r="C221" s="5" t="inlineStr">
        <is>
          <t>Hostel</t>
        </is>
      </c>
      <c r="D221" s="2" t="inlineStr">
        <is>
          <t>Phase 3</t>
        </is>
      </c>
      <c r="E221" s="2" t="inlineStr">
        <is>
          <t>US-0429, US-0430</t>
        </is>
      </c>
      <c r="F221" s="24" t="n"/>
      <c r="G221" s="24" t="n"/>
      <c r="H221" s="32" t="n"/>
      <c r="I221" s="2" t="inlineStr">
        <is>
          <t>Ready</t>
        </is>
      </c>
      <c r="J221" s="33" t="inlineStr">
        <is>
          <t>Done</t>
        </is>
      </c>
      <c r="K221" s="33" t="inlineStr">
        <is>
          <t>Done</t>
        </is>
      </c>
      <c r="L221" s="24" t="inlineStr">
        <is>
          <t>Not assessed</t>
        </is>
      </c>
      <c r="M221" s="24" t="inlineStr">
        <is>
          <t>Not assessed</t>
        </is>
      </c>
      <c r="N221" s="24" t="inlineStr">
        <is>
          <t>Not assessed</t>
        </is>
      </c>
      <c r="O221" s="35" t="n"/>
      <c r="P221" s="24" t="inlineStr">
        <is>
          <t>Not scheduled</t>
        </is>
      </c>
      <c r="Q221" s="24" t="n"/>
      <c r="R221" s="24" t="inlineStr">
        <is>
          <t>Complaints triage plus monthly hostel fees</t>
        </is>
      </c>
      <c r="S221" s="24" t="n"/>
      <c r="T221" s="24" t="n"/>
      <c r="U221" s="36" t="n">
        <v>46285</v>
      </c>
      <c r="V221" s="24" t="n"/>
      <c r="W221" s="15">
        <f>IF(P221="Production",IF(X221="Yes","Released","Review release"),IF(P221="Rolled back","Rolled back",IF(OR(Q221&lt;&gt;"",COUNTIFS(J221:N221,"Blocked")&gt;0),"Blocked",IF(OR(M221="Failed",N221="Rejected",AND(ISNUMBER(O221),O221&gt;0)),"Rework",IF(X221="Yes","Ready for release",IF(N221="Accepted","Verify completion",IF(OR(M221="Passed",M221="In progress",N221="In review"),"Testing / review",IF(OR(COUNTIFS(J221:L221,"In progress")&gt;0,COUNTIFS(J221:L221,"In review")&gt;0,COUNTIFS(J221:L221,"Done")&gt;0),"In progress",IF(COUNTIFS(J221:N221,"Not assessed")=5,"Not assessed","Planned")))))))))</f>
        <v/>
      </c>
      <c r="X221" s="15">
        <f>IF(AND(J221="Done",OR(K221="Done",K221="Not required"),OR(L221="Done",L221="Not required"),M221="Passed",N221="Accepted",ISNUMBER(O221),O221=0,Q221="",F221&lt;&gt;"",S221&lt;&gt;"",T221&lt;&gt;"",ISNUMBER(U221),OR(AND(K221&lt;&gt;"Not required",L221&lt;&gt;"Not required"),V221&lt;&gt;""),P221&lt;&gt;"Rolled back"),"Yes","No")</f>
        <v/>
      </c>
      <c r="Y221" s="15">
        <f>IF(X221="Yes","Completed",IF(H221="","No deadline",IF(NOT(ISNUMBER(H221)),"Check date",IF(H221&lt;Overview!$I$3,"Overdue",IF(H221&lt;=Overview!$I$3+7,"Due soon","On track")))))</f>
        <v/>
      </c>
      <c r="Z221" s="37">
        <f>IF(AND(X221&lt;&gt;"Yes",ISNUMBER(H221)),MAX(0,Overview!$I$3-H221),0)</f>
        <v/>
      </c>
      <c r="AA221" s="5" t="inlineStr">
        <is>
          <t>Hostel Warden</t>
        </is>
      </c>
      <c r="AB221" t="inlineStr">
        <is>
          <t>/school/hostel</t>
        </is>
      </c>
    </row>
    <row r="222" ht="35" customHeight="1">
      <c r="A222" s="2" t="inlineStr">
        <is>
          <t>SCR-216</t>
        </is>
      </c>
      <c r="B222" s="5" t="inlineStr">
        <is>
          <t>Health Dashboard</t>
        </is>
      </c>
      <c r="C222" s="5" t="inlineStr">
        <is>
          <t>Health / Counselling / Discipline</t>
        </is>
      </c>
      <c r="D222" s="2" t="inlineStr">
        <is>
          <t>Phase 2</t>
        </is>
      </c>
      <c r="E222" s="2" t="inlineStr">
        <is>
          <t>US-0431, US-0432</t>
        </is>
      </c>
      <c r="F222" s="24" t="n"/>
      <c r="G222" s="24" t="n"/>
      <c r="H222" s="32" t="n"/>
      <c r="I222" s="2" t="inlineStr">
        <is>
          <t>Ready</t>
        </is>
      </c>
      <c r="J222" s="33" t="inlineStr">
        <is>
          <t>Done</t>
        </is>
      </c>
      <c r="K222" s="33" t="inlineStr">
        <is>
          <t>Done</t>
        </is>
      </c>
      <c r="L222" s="24" t="inlineStr">
        <is>
          <t>Not assessed</t>
        </is>
      </c>
      <c r="M222" s="24" t="inlineStr">
        <is>
          <t>Not assessed</t>
        </is>
      </c>
      <c r="N222" s="24" t="inlineStr">
        <is>
          <t>Not assessed</t>
        </is>
      </c>
      <c r="O222" s="35" t="n"/>
      <c r="P222" s="24" t="inlineStr">
        <is>
          <t>Not scheduled</t>
        </is>
      </c>
      <c r="Q222" s="24" t="n"/>
      <c r="R222" s="24" t="inlineStr">
        <is>
          <t>Five KPI cards with visits and alerts tabs</t>
        </is>
      </c>
      <c r="S222" s="24" t="n"/>
      <c r="T222" s="24" t="n"/>
      <c r="U222" s="36" t="n">
        <v>46285</v>
      </c>
      <c r="V222" s="24" t="n"/>
      <c r="W222" s="15">
        <f>IF(P222="Production",IF(X222="Yes","Released","Review release"),IF(P222="Rolled back","Rolled back",IF(OR(Q222&lt;&gt;"",COUNTIFS(J222:N222,"Blocked")&gt;0),"Blocked",IF(OR(M222="Failed",N222="Rejected",AND(ISNUMBER(O222),O222&gt;0)),"Rework",IF(X222="Yes","Ready for release",IF(N222="Accepted","Verify completion",IF(OR(M222="Passed",M222="In progress",N222="In review"),"Testing / review",IF(OR(COUNTIFS(J222:L222,"In progress")&gt;0,COUNTIFS(J222:L222,"In review")&gt;0,COUNTIFS(J222:L222,"Done")&gt;0),"In progress",IF(COUNTIFS(J222:N222,"Not assessed")=5,"Not assessed","Planned")))))))))</f>
        <v/>
      </c>
      <c r="X222" s="15">
        <f>IF(AND(J222="Done",OR(K222="Done",K222="Not required"),OR(L222="Done",L222="Not required"),M222="Passed",N222="Accepted",ISNUMBER(O222),O222=0,Q222="",F222&lt;&gt;"",S222&lt;&gt;"",T222&lt;&gt;"",ISNUMBER(U222),OR(AND(K222&lt;&gt;"Not required",L222&lt;&gt;"Not required"),V222&lt;&gt;""),P222&lt;&gt;"Rolled back"),"Yes","No")</f>
        <v/>
      </c>
      <c r="Y222" s="15">
        <f>IF(X222="Yes","Completed",IF(H222="","No deadline",IF(NOT(ISNUMBER(H222)),"Check date",IF(H222&lt;Overview!$I$3,"Overdue",IF(H222&lt;=Overview!$I$3+7,"Due soon","On track")))))</f>
        <v/>
      </c>
      <c r="Z222" s="37">
        <f>IF(AND(X222&lt;&gt;"Yes",ISNUMBER(H222)),MAX(0,Overview!$I$3-H222),0)</f>
        <v/>
      </c>
      <c r="AA222" s="5" t="inlineStr">
        <is>
          <t>Nurse / Medical Officer</t>
        </is>
      </c>
      <c r="AB222" t="inlineStr">
        <is>
          <t>/school/health</t>
        </is>
      </c>
    </row>
    <row r="223" ht="35" customHeight="1">
      <c r="A223" s="2" t="inlineStr">
        <is>
          <t>SCR-217</t>
        </is>
      </c>
      <c r="B223" s="5" t="inlineStr">
        <is>
          <t>Student Medical Profile</t>
        </is>
      </c>
      <c r="C223" s="5" t="inlineStr">
        <is>
          <t>Health / Counselling / Discipline</t>
        </is>
      </c>
      <c r="D223" s="2" t="inlineStr">
        <is>
          <t>Phase 2</t>
        </is>
      </c>
      <c r="E223" s="2" t="inlineStr">
        <is>
          <t>US-0433, US-0434</t>
        </is>
      </c>
      <c r="F223" s="24" t="n"/>
      <c r="G223" s="24" t="n"/>
      <c r="H223" s="32" t="n"/>
      <c r="I223" s="2" t="inlineStr">
        <is>
          <t>Ready</t>
        </is>
      </c>
      <c r="J223" s="33" t="inlineStr">
        <is>
          <t>Done</t>
        </is>
      </c>
      <c r="K223" s="33" t="inlineStr">
        <is>
          <t>Done</t>
        </is>
      </c>
      <c r="L223" s="24" t="inlineStr">
        <is>
          <t>Not assessed</t>
        </is>
      </c>
      <c r="M223" s="24" t="inlineStr">
        <is>
          <t>Not assessed</t>
        </is>
      </c>
      <c r="N223" s="24" t="inlineStr">
        <is>
          <t>Not assessed</t>
        </is>
      </c>
      <c r="O223" s="35" t="n"/>
      <c r="P223" s="24" t="inlineStr">
        <is>
          <t>Not scheduled</t>
        </is>
      </c>
      <c r="Q223" s="24" t="n"/>
      <c r="R223" s="24" t="inlineStr">
        <is>
          <t>Profile, checkups, immunisations, visits</t>
        </is>
      </c>
      <c r="S223" s="24" t="n"/>
      <c r="T223" s="24" t="n"/>
      <c r="U223" s="36" t="n">
        <v>46285</v>
      </c>
      <c r="V223" s="24" t="n"/>
      <c r="W223" s="15">
        <f>IF(P223="Production",IF(X223="Yes","Released","Review release"),IF(P223="Rolled back","Rolled back",IF(OR(Q223&lt;&gt;"",COUNTIFS(J223:N223,"Blocked")&gt;0),"Blocked",IF(OR(M223="Failed",N223="Rejected",AND(ISNUMBER(O223),O223&gt;0)),"Rework",IF(X223="Yes","Ready for release",IF(N223="Accepted","Verify completion",IF(OR(M223="Passed",M223="In progress",N223="In review"),"Testing / review",IF(OR(COUNTIFS(J223:L223,"In progress")&gt;0,COUNTIFS(J223:L223,"In review")&gt;0,COUNTIFS(J223:L223,"Done")&gt;0),"In progress",IF(COUNTIFS(J223:N223,"Not assessed")=5,"Not assessed","Planned")))))))))</f>
        <v/>
      </c>
      <c r="X223" s="15">
        <f>IF(AND(J223="Done",OR(K223="Done",K223="Not required"),OR(L223="Done",L223="Not required"),M223="Passed",N223="Accepted",ISNUMBER(O223),O223=0,Q223="",F223&lt;&gt;"",S223&lt;&gt;"",T223&lt;&gt;"",ISNUMBER(U223),OR(AND(K223&lt;&gt;"Not required",L223&lt;&gt;"Not required"),V223&lt;&gt;""),P223&lt;&gt;"Rolled back"),"Yes","No")</f>
        <v/>
      </c>
      <c r="Y223" s="15">
        <f>IF(X223="Yes","Completed",IF(H223="","No deadline",IF(NOT(ISNUMBER(H223)),"Check date",IF(H223&lt;Overview!$I$3,"Overdue",IF(H223&lt;=Overview!$I$3+7,"Due soon","On track")))))</f>
        <v/>
      </c>
      <c r="Z223" s="37">
        <f>IF(AND(X223&lt;&gt;"Yes",ISNUMBER(H223)),MAX(0,Overview!$I$3-H223),0)</f>
        <v/>
      </c>
      <c r="AA223" s="5" t="inlineStr">
        <is>
          <t>Nurse / Medical Officer</t>
        </is>
      </c>
      <c r="AB223" t="inlineStr">
        <is>
          <t>/school/health/students/[id]</t>
        </is>
      </c>
    </row>
    <row r="224" ht="35" customHeight="1">
      <c r="A224" s="2" t="inlineStr">
        <is>
          <t>SCR-218</t>
        </is>
      </c>
      <c r="B224" s="5" t="inlineStr">
        <is>
          <t>Clinic Visit</t>
        </is>
      </c>
      <c r="C224" s="5" t="inlineStr">
        <is>
          <t>Health / Counselling / Discipline</t>
        </is>
      </c>
      <c r="D224" s="2" t="inlineStr">
        <is>
          <t>Phase 2</t>
        </is>
      </c>
      <c r="E224" s="2" t="inlineStr">
        <is>
          <t>US-0435, US-0436</t>
        </is>
      </c>
      <c r="F224" s="24" t="n"/>
      <c r="G224" s="24" t="n"/>
      <c r="H224" s="32" t="n"/>
      <c r="I224" s="2" t="inlineStr">
        <is>
          <t>Ready</t>
        </is>
      </c>
      <c r="J224" s="33" t="inlineStr">
        <is>
          <t>Done</t>
        </is>
      </c>
      <c r="K224" s="33" t="inlineStr">
        <is>
          <t>Done</t>
        </is>
      </c>
      <c r="L224" s="24" t="inlineStr">
        <is>
          <t>Not assessed</t>
        </is>
      </c>
      <c r="M224" s="24" t="inlineStr">
        <is>
          <t>Not assessed</t>
        </is>
      </c>
      <c r="N224" s="24" t="inlineStr">
        <is>
          <t>Not assessed</t>
        </is>
      </c>
      <c r="O224" s="35" t="n"/>
      <c r="P224" s="24" t="inlineStr">
        <is>
          <t>Not scheduled</t>
        </is>
      </c>
      <c r="Q224" s="24" t="n"/>
      <c r="R224" s="24" t="inlineStr">
        <is>
          <t>Complaint, temperature, outcome, parent notice</t>
        </is>
      </c>
      <c r="S224" s="24" t="n"/>
      <c r="T224" s="24" t="n"/>
      <c r="U224" s="36" t="n">
        <v>46285</v>
      </c>
      <c r="V224" s="24" t="n"/>
      <c r="W224" s="15">
        <f>IF(P224="Production",IF(X224="Yes","Released","Review release"),IF(P224="Rolled back","Rolled back",IF(OR(Q224&lt;&gt;"",COUNTIFS(J224:N224,"Blocked")&gt;0),"Blocked",IF(OR(M224="Failed",N224="Rejected",AND(ISNUMBER(O224),O224&gt;0)),"Rework",IF(X224="Yes","Ready for release",IF(N224="Accepted","Verify completion",IF(OR(M224="Passed",M224="In progress",N224="In review"),"Testing / review",IF(OR(COUNTIFS(J224:L224,"In progress")&gt;0,COUNTIFS(J224:L224,"In review")&gt;0,COUNTIFS(J224:L224,"Done")&gt;0),"In progress",IF(COUNTIFS(J224:N224,"Not assessed")=5,"Not assessed","Planned")))))))))</f>
        <v/>
      </c>
      <c r="X224" s="15">
        <f>IF(AND(J224="Done",OR(K224="Done",K224="Not required"),OR(L224="Done",L224="Not required"),M224="Passed",N224="Accepted",ISNUMBER(O224),O224=0,Q224="",F224&lt;&gt;"",S224&lt;&gt;"",T224&lt;&gt;"",ISNUMBER(U224),OR(AND(K224&lt;&gt;"Not required",L224&lt;&gt;"Not required"),V224&lt;&gt;""),P224&lt;&gt;"Rolled back"),"Yes","No")</f>
        <v/>
      </c>
      <c r="Y224" s="15">
        <f>IF(X224="Yes","Completed",IF(H224="","No deadline",IF(NOT(ISNUMBER(H224)),"Check date",IF(H224&lt;Overview!$I$3,"Overdue",IF(H224&lt;=Overview!$I$3+7,"Due soon","On track")))))</f>
        <v/>
      </c>
      <c r="Z224" s="37">
        <f>IF(AND(X224&lt;&gt;"Yes",ISNUMBER(H224)),MAX(0,Overview!$I$3-H224),0)</f>
        <v/>
      </c>
      <c r="AA224" s="5" t="inlineStr">
        <is>
          <t>Nurse / Medical Officer</t>
        </is>
      </c>
      <c r="AB224" t="inlineStr">
        <is>
          <t>/school/health</t>
        </is>
      </c>
    </row>
    <row r="225" ht="35" customHeight="1">
      <c r="A225" s="2" t="inlineStr">
        <is>
          <t>SCR-219</t>
        </is>
      </c>
      <c r="B225" s="5" t="inlineStr">
        <is>
          <t>Medication / First Aid</t>
        </is>
      </c>
      <c r="C225" s="5" t="inlineStr">
        <is>
          <t>Health / Counselling / Discipline</t>
        </is>
      </c>
      <c r="D225" s="2" t="inlineStr">
        <is>
          <t>Phase 3</t>
        </is>
      </c>
      <c r="E225" s="2" t="inlineStr">
        <is>
          <t>US-0437, US-0438</t>
        </is>
      </c>
      <c r="F225" s="24" t="n"/>
      <c r="G225" s="24" t="n"/>
      <c r="H225" s="32" t="n"/>
      <c r="I225" s="2" t="inlineStr">
        <is>
          <t>Ready</t>
        </is>
      </c>
      <c r="J225" s="38" t="inlineStr">
        <is>
          <t>In progress</t>
        </is>
      </c>
      <c r="K225" s="38" t="inlineStr">
        <is>
          <t>In progress</t>
        </is>
      </c>
      <c r="L225" s="24" t="inlineStr">
        <is>
          <t>Not assessed</t>
        </is>
      </c>
      <c r="M225" s="24" t="inlineStr">
        <is>
          <t>Not assessed</t>
        </is>
      </c>
      <c r="N225" s="24" t="inlineStr">
        <is>
          <t>Not assessed</t>
        </is>
      </c>
      <c r="O225" s="35" t="n"/>
      <c r="P225" s="24" t="inlineStr">
        <is>
          <t>Not scheduled</t>
        </is>
      </c>
      <c r="Q225" s="24" t="n"/>
      <c r="R225" s="24" t="inlineStr">
        <is>
          <t>One medicine field; no register or stock</t>
        </is>
      </c>
      <c r="S225" s="24" t="n"/>
      <c r="T225" s="24" t="n"/>
      <c r="U225" s="36" t="n">
        <v>46285</v>
      </c>
      <c r="V225" s="24" t="n"/>
      <c r="W225" s="15">
        <f>IF(P225="Production",IF(X225="Yes","Released","Review release"),IF(P225="Rolled back","Rolled back",IF(OR(Q225&lt;&gt;"",COUNTIFS(J225:N225,"Blocked")&gt;0),"Blocked",IF(OR(M225="Failed",N225="Rejected",AND(ISNUMBER(O225),O225&gt;0)),"Rework",IF(X225="Yes","Ready for release",IF(N225="Accepted","Verify completion",IF(OR(M225="Passed",M225="In progress",N225="In review"),"Testing / review",IF(OR(COUNTIFS(J225:L225,"In progress")&gt;0,COUNTIFS(J225:L225,"In review")&gt;0,COUNTIFS(J225:L225,"Done")&gt;0),"In progress",IF(COUNTIFS(J225:N225,"Not assessed")=5,"Not assessed","Planned")))))))))</f>
        <v/>
      </c>
      <c r="X225" s="15">
        <f>IF(AND(J225="Done",OR(K225="Done",K225="Not required"),OR(L225="Done",L225="Not required"),M225="Passed",N225="Accepted",ISNUMBER(O225),O225=0,Q225="",F225&lt;&gt;"",S225&lt;&gt;"",T225&lt;&gt;"",ISNUMBER(U225),OR(AND(K225&lt;&gt;"Not required",L225&lt;&gt;"Not required"),V225&lt;&gt;""),P225&lt;&gt;"Rolled back"),"Yes","No")</f>
        <v/>
      </c>
      <c r="Y225" s="15">
        <f>IF(X225="Yes","Completed",IF(H225="","No deadline",IF(NOT(ISNUMBER(H225)),"Check date",IF(H225&lt;Overview!$I$3,"Overdue",IF(H225&lt;=Overview!$I$3+7,"Due soon","On track")))))</f>
        <v/>
      </c>
      <c r="Z225" s="37">
        <f>IF(AND(X225&lt;&gt;"Yes",ISNUMBER(H225)),MAX(0,Overview!$I$3-H225),0)</f>
        <v/>
      </c>
      <c r="AA225" s="5" t="inlineStr">
        <is>
          <t>Nurse / Medical Officer</t>
        </is>
      </c>
      <c r="AB225" t="inlineStr">
        <is>
          <t>/school/health</t>
        </is>
      </c>
    </row>
    <row r="226" ht="35" customHeight="1">
      <c r="A226" s="2" t="inlineStr">
        <is>
          <t>SCR-220</t>
        </is>
      </c>
      <c r="B226" s="5" t="inlineStr">
        <is>
          <t>Immunization / Allergy</t>
        </is>
      </c>
      <c r="C226" s="5" t="inlineStr">
        <is>
          <t>Health / Counselling / Discipline</t>
        </is>
      </c>
      <c r="D226" s="2" t="inlineStr">
        <is>
          <t>Phase 3</t>
        </is>
      </c>
      <c r="E226" s="2" t="inlineStr">
        <is>
          <t>US-0439, US-0440</t>
        </is>
      </c>
      <c r="F226" s="24" t="n"/>
      <c r="G226" s="24" t="n"/>
      <c r="H226" s="32" t="n"/>
      <c r="I226" s="2" t="inlineStr">
        <is>
          <t>Ready</t>
        </is>
      </c>
      <c r="J226" s="38" t="inlineStr">
        <is>
          <t>In progress</t>
        </is>
      </c>
      <c r="K226" s="33" t="inlineStr">
        <is>
          <t>Done</t>
        </is>
      </c>
      <c r="L226" s="24" t="inlineStr">
        <is>
          <t>Not assessed</t>
        </is>
      </c>
      <c r="M226" s="24" t="inlineStr">
        <is>
          <t>Not assessed</t>
        </is>
      </c>
      <c r="N226" s="24" t="inlineStr">
        <is>
          <t>Not assessed</t>
        </is>
      </c>
      <c r="O226" s="35" t="n"/>
      <c r="P226" s="24" t="inlineStr">
        <is>
          <t>Not scheduled</t>
        </is>
      </c>
      <c r="Q226" s="24" t="n"/>
      <c r="R226" s="24" t="inlineStr">
        <is>
          <t>Split across tabs; no drive or bulk entry</t>
        </is>
      </c>
      <c r="S226" s="24" t="n"/>
      <c r="T226" s="24" t="n"/>
      <c r="U226" s="36" t="n">
        <v>46285</v>
      </c>
      <c r="V226" s="24" t="n"/>
      <c r="W226" s="15">
        <f>IF(P226="Production",IF(X226="Yes","Released","Review release"),IF(P226="Rolled back","Rolled back",IF(OR(Q226&lt;&gt;"",COUNTIFS(J226:N226,"Blocked")&gt;0),"Blocked",IF(OR(M226="Failed",N226="Rejected",AND(ISNUMBER(O226),O226&gt;0)),"Rework",IF(X226="Yes","Ready for release",IF(N226="Accepted","Verify completion",IF(OR(M226="Passed",M226="In progress",N226="In review"),"Testing / review",IF(OR(COUNTIFS(J226:L226,"In progress")&gt;0,COUNTIFS(J226:L226,"In review")&gt;0,COUNTIFS(J226:L226,"Done")&gt;0),"In progress",IF(COUNTIFS(J226:N226,"Not assessed")=5,"Not assessed","Planned")))))))))</f>
        <v/>
      </c>
      <c r="X226" s="15">
        <f>IF(AND(J226="Done",OR(K226="Done",K226="Not required"),OR(L226="Done",L226="Not required"),M226="Passed",N226="Accepted",ISNUMBER(O226),O226=0,Q226="",F226&lt;&gt;"",S226&lt;&gt;"",T226&lt;&gt;"",ISNUMBER(U226),OR(AND(K226&lt;&gt;"Not required",L226&lt;&gt;"Not required"),V226&lt;&gt;""),P226&lt;&gt;"Rolled back"),"Yes","No")</f>
        <v/>
      </c>
      <c r="Y226" s="15">
        <f>IF(X226="Yes","Completed",IF(H226="","No deadline",IF(NOT(ISNUMBER(H226)),"Check date",IF(H226&lt;Overview!$I$3,"Overdue",IF(H226&lt;=Overview!$I$3+7,"Due soon","On track")))))</f>
        <v/>
      </c>
      <c r="Z226" s="37">
        <f>IF(AND(X226&lt;&gt;"Yes",ISNUMBER(H226)),MAX(0,Overview!$I$3-H226),0)</f>
        <v/>
      </c>
      <c r="AA226" s="5" t="inlineStr">
        <is>
          <t>Nurse / Medical Officer</t>
        </is>
      </c>
      <c r="AB226" t="inlineStr">
        <is>
          <t>/school/health</t>
        </is>
      </c>
    </row>
    <row r="227" ht="35" customHeight="1">
      <c r="A227" s="2" t="inlineStr">
        <is>
          <t>SCR-221</t>
        </is>
      </c>
      <c r="B227" s="5" t="inlineStr">
        <is>
          <t>Counselling Appointments</t>
        </is>
      </c>
      <c r="C227" s="5" t="inlineStr">
        <is>
          <t>Health / Counselling / Discipline</t>
        </is>
      </c>
      <c r="D227" s="2" t="inlineStr">
        <is>
          <t>Phase 3</t>
        </is>
      </c>
      <c r="E227" s="2" t="inlineStr">
        <is>
          <t>US-0441, US-0442</t>
        </is>
      </c>
      <c r="F227" s="24" t="n"/>
      <c r="G227" s="24" t="n"/>
      <c r="H227" s="32" t="n"/>
      <c r="I227" s="2" t="inlineStr">
        <is>
          <t>Ready</t>
        </is>
      </c>
      <c r="J227" s="38" t="inlineStr">
        <is>
          <t>In progress</t>
        </is>
      </c>
      <c r="K227" s="38" t="inlineStr">
        <is>
          <t>In progress</t>
        </is>
      </c>
      <c r="L227" s="24" t="inlineStr">
        <is>
          <t>Not assessed</t>
        </is>
      </c>
      <c r="M227" s="24" t="inlineStr">
        <is>
          <t>Not assessed</t>
        </is>
      </c>
      <c r="N227" s="24" t="inlineStr">
        <is>
          <t>Not assessed</t>
        </is>
      </c>
      <c r="O227" s="35" t="n"/>
      <c r="P227" s="24" t="inlineStr">
        <is>
          <t>Not scheduled</t>
        </is>
      </c>
      <c r="Q227" s="24" t="n"/>
      <c r="R227" s="24" t="inlineStr">
        <is>
          <t>Next-session date only; no booking diary</t>
        </is>
      </c>
      <c r="S227" s="24" t="n"/>
      <c r="T227" s="24" t="n"/>
      <c r="U227" s="36" t="n">
        <v>46285</v>
      </c>
      <c r="V227" s="24" t="n"/>
      <c r="W227" s="15">
        <f>IF(P227="Production",IF(X227="Yes","Released","Review release"),IF(P227="Rolled back","Rolled back",IF(OR(Q227&lt;&gt;"",COUNTIFS(J227:N227,"Blocked")&gt;0),"Blocked",IF(OR(M227="Failed",N227="Rejected",AND(ISNUMBER(O227),O227&gt;0)),"Rework",IF(X227="Yes","Ready for release",IF(N227="Accepted","Verify completion",IF(OR(M227="Passed",M227="In progress",N227="In review"),"Testing / review",IF(OR(COUNTIFS(J227:L227,"In progress")&gt;0,COUNTIFS(J227:L227,"In review")&gt;0,COUNTIFS(J227:L227,"Done")&gt;0),"In progress",IF(COUNTIFS(J227:N227,"Not assessed")=5,"Not assessed","Planned")))))))))</f>
        <v/>
      </c>
      <c r="X227" s="15">
        <f>IF(AND(J227="Done",OR(K227="Done",K227="Not required"),OR(L227="Done",L227="Not required"),M227="Passed",N227="Accepted",ISNUMBER(O227),O227=0,Q227="",F227&lt;&gt;"",S227&lt;&gt;"",T227&lt;&gt;"",ISNUMBER(U227),OR(AND(K227&lt;&gt;"Not required",L227&lt;&gt;"Not required"),V227&lt;&gt;""),P227&lt;&gt;"Rolled back"),"Yes","No")</f>
        <v/>
      </c>
      <c r="Y227" s="15">
        <f>IF(X227="Yes","Completed",IF(H227="","No deadline",IF(NOT(ISNUMBER(H227)),"Check date",IF(H227&lt;Overview!$I$3,"Overdue",IF(H227&lt;=Overview!$I$3+7,"Due soon","On track")))))</f>
        <v/>
      </c>
      <c r="Z227" s="37">
        <f>IF(AND(X227&lt;&gt;"Yes",ISNUMBER(H227)),MAX(0,Overview!$I$3-H227),0)</f>
        <v/>
      </c>
      <c r="AA227" s="5" t="inlineStr">
        <is>
          <t>Nurse / Medical Officer</t>
        </is>
      </c>
      <c r="AB227" t="inlineStr">
        <is>
          <t>/school/counselling</t>
        </is>
      </c>
    </row>
    <row r="228" ht="35" customHeight="1">
      <c r="A228" s="2" t="inlineStr">
        <is>
          <t>SCR-222</t>
        </is>
      </c>
      <c r="B228" s="5" t="inlineStr">
        <is>
          <t>Counselling Case Notes</t>
        </is>
      </c>
      <c r="C228" s="5" t="inlineStr">
        <is>
          <t>Health / Counselling / Discipline</t>
        </is>
      </c>
      <c r="D228" s="2" t="inlineStr">
        <is>
          <t>Phase 3</t>
        </is>
      </c>
      <c r="E228" s="2" t="inlineStr">
        <is>
          <t>US-0443, US-0444</t>
        </is>
      </c>
      <c r="F228" s="24" t="n"/>
      <c r="G228" s="24" t="n"/>
      <c r="H228" s="32" t="n"/>
      <c r="I228" s="2" t="inlineStr">
        <is>
          <t>Ready</t>
        </is>
      </c>
      <c r="J228" s="33" t="inlineStr">
        <is>
          <t>Done</t>
        </is>
      </c>
      <c r="K228" s="33" t="inlineStr">
        <is>
          <t>Done</t>
        </is>
      </c>
      <c r="L228" s="24" t="inlineStr">
        <is>
          <t>Not assessed</t>
        </is>
      </c>
      <c r="M228" s="24" t="inlineStr">
        <is>
          <t>Not assessed</t>
        </is>
      </c>
      <c r="N228" s="24" t="inlineStr">
        <is>
          <t>Not assessed</t>
        </is>
      </c>
      <c r="O228" s="35" t="n"/>
      <c r="P228" s="24" t="inlineStr">
        <is>
          <t>Not scheduled</t>
        </is>
      </c>
      <c r="Q228" s="24" t="n"/>
      <c r="R228" s="24" t="inlineStr">
        <is>
          <t>Session notes with privacy and closure</t>
        </is>
      </c>
      <c r="S228" s="24" t="n"/>
      <c r="T228" s="24" t="n"/>
      <c r="U228" s="36" t="n">
        <v>46285</v>
      </c>
      <c r="V228" s="24" t="n"/>
      <c r="W228" s="15">
        <f>IF(P228="Production",IF(X228="Yes","Released","Review release"),IF(P228="Rolled back","Rolled back",IF(OR(Q228&lt;&gt;"",COUNTIFS(J228:N228,"Blocked")&gt;0),"Blocked",IF(OR(M228="Failed",N228="Rejected",AND(ISNUMBER(O228),O228&gt;0)),"Rework",IF(X228="Yes","Ready for release",IF(N228="Accepted","Verify completion",IF(OR(M228="Passed",M228="In progress",N228="In review"),"Testing / review",IF(OR(COUNTIFS(J228:L228,"In progress")&gt;0,COUNTIFS(J228:L228,"In review")&gt;0,COUNTIFS(J228:L228,"Done")&gt;0),"In progress",IF(COUNTIFS(J228:N228,"Not assessed")=5,"Not assessed","Planned")))))))))</f>
        <v/>
      </c>
      <c r="X228" s="15">
        <f>IF(AND(J228="Done",OR(K228="Done",K228="Not required"),OR(L228="Done",L228="Not required"),M228="Passed",N228="Accepted",ISNUMBER(O228),O228=0,Q228="",F228&lt;&gt;"",S228&lt;&gt;"",T228&lt;&gt;"",ISNUMBER(U228),OR(AND(K228&lt;&gt;"Not required",L228&lt;&gt;"Not required"),V228&lt;&gt;""),P228&lt;&gt;"Rolled back"),"Yes","No")</f>
        <v/>
      </c>
      <c r="Y228" s="15">
        <f>IF(X228="Yes","Completed",IF(H228="","No deadline",IF(NOT(ISNUMBER(H228)),"Check date",IF(H228&lt;Overview!$I$3,"Overdue",IF(H228&lt;=Overview!$I$3+7,"Due soon","On track")))))</f>
        <v/>
      </c>
      <c r="Z228" s="37">
        <f>IF(AND(X228&lt;&gt;"Yes",ISNUMBER(H228)),MAX(0,Overview!$I$3-H228),0)</f>
        <v/>
      </c>
      <c r="AA228" s="5" t="inlineStr">
        <is>
          <t>Nurse / Medical Officer</t>
        </is>
      </c>
      <c r="AB228" t="inlineStr">
        <is>
          <t>/school/counselling</t>
        </is>
      </c>
    </row>
    <row r="229" ht="35" customHeight="1">
      <c r="A229" s="2" t="inlineStr">
        <is>
          <t>SCR-223</t>
        </is>
      </c>
      <c r="B229" s="5" t="inlineStr">
        <is>
          <t>Behaviour / Discipline Incidents</t>
        </is>
      </c>
      <c r="C229" s="5" t="inlineStr">
        <is>
          <t>Health / Counselling / Discipline</t>
        </is>
      </c>
      <c r="D229" s="2" t="inlineStr">
        <is>
          <t>Phase 3</t>
        </is>
      </c>
      <c r="E229" s="2" t="inlineStr">
        <is>
          <t>US-0445, US-0446</t>
        </is>
      </c>
      <c r="F229" s="24" t="n"/>
      <c r="G229" s="24" t="n"/>
      <c r="H229" s="32" t="n"/>
      <c r="I229" s="2" t="inlineStr">
        <is>
          <t>Ready</t>
        </is>
      </c>
      <c r="J229" s="33" t="inlineStr">
        <is>
          <t>Done</t>
        </is>
      </c>
      <c r="K229" s="33" t="inlineStr">
        <is>
          <t>Done</t>
        </is>
      </c>
      <c r="L229" s="24" t="inlineStr">
        <is>
          <t>Not assessed</t>
        </is>
      </c>
      <c r="M229" s="24" t="inlineStr">
        <is>
          <t>Not assessed</t>
        </is>
      </c>
      <c r="N229" s="24" t="inlineStr">
        <is>
          <t>Not assessed</t>
        </is>
      </c>
      <c r="O229" s="35" t="n"/>
      <c r="P229" s="24" t="inlineStr">
        <is>
          <t>Not scheduled</t>
        </is>
      </c>
      <c r="Q229" s="24" t="n"/>
      <c r="R229" s="24" t="inlineStr">
        <is>
          <t>Report incident with category and severity</t>
        </is>
      </c>
      <c r="S229" s="24" t="n"/>
      <c r="T229" s="24" t="n"/>
      <c r="U229" s="36" t="n">
        <v>46285</v>
      </c>
      <c r="V229" s="24" t="n"/>
      <c r="W229" s="15">
        <f>IF(P229="Production",IF(X229="Yes","Released","Review release"),IF(P229="Rolled back","Rolled back",IF(OR(Q229&lt;&gt;"",COUNTIFS(J229:N229,"Blocked")&gt;0),"Blocked",IF(OR(M229="Failed",N229="Rejected",AND(ISNUMBER(O229),O229&gt;0)),"Rework",IF(X229="Yes","Ready for release",IF(N229="Accepted","Verify completion",IF(OR(M229="Passed",M229="In progress",N229="In review"),"Testing / review",IF(OR(COUNTIFS(J229:L229,"In progress")&gt;0,COUNTIFS(J229:L229,"In review")&gt;0,COUNTIFS(J229:L229,"Done")&gt;0),"In progress",IF(COUNTIFS(J229:N229,"Not assessed")=5,"Not assessed","Planned")))))))))</f>
        <v/>
      </c>
      <c r="X229" s="15">
        <f>IF(AND(J229="Done",OR(K229="Done",K229="Not required"),OR(L229="Done",L229="Not required"),M229="Passed",N229="Accepted",ISNUMBER(O229),O229=0,Q229="",F229&lt;&gt;"",S229&lt;&gt;"",T229&lt;&gt;"",ISNUMBER(U229),OR(AND(K229&lt;&gt;"Not required",L229&lt;&gt;"Not required"),V229&lt;&gt;""),P229&lt;&gt;"Rolled back"),"Yes","No")</f>
        <v/>
      </c>
      <c r="Y229" s="15">
        <f>IF(X229="Yes","Completed",IF(H229="","No deadline",IF(NOT(ISNUMBER(H229)),"Check date",IF(H229&lt;Overview!$I$3,"Overdue",IF(H229&lt;=Overview!$I$3+7,"Due soon","On track")))))</f>
        <v/>
      </c>
      <c r="Z229" s="37">
        <f>IF(AND(X229&lt;&gt;"Yes",ISNUMBER(H229)),MAX(0,Overview!$I$3-H229),0)</f>
        <v/>
      </c>
      <c r="AA229" s="5" t="inlineStr">
        <is>
          <t>Nurse / Medical Officer</t>
        </is>
      </c>
      <c r="AB229" t="inlineStr">
        <is>
          <t>/school/discipline</t>
        </is>
      </c>
    </row>
    <row r="230" ht="35" customHeight="1">
      <c r="A230" s="2" t="inlineStr">
        <is>
          <t>SCR-224</t>
        </is>
      </c>
      <c r="B230" s="5" t="inlineStr">
        <is>
          <t>Incident Action &amp; Follow-up</t>
        </is>
      </c>
      <c r="C230" s="5" t="inlineStr">
        <is>
          <t>Health / Counselling / Discipline</t>
        </is>
      </c>
      <c r="D230" s="2" t="inlineStr">
        <is>
          <t>Phase 3</t>
        </is>
      </c>
      <c r="E230" s="2" t="inlineStr">
        <is>
          <t>US-0447, US-0448</t>
        </is>
      </c>
      <c r="F230" s="24" t="n"/>
      <c r="G230" s="24" t="n"/>
      <c r="H230" s="32" t="n"/>
      <c r="I230" s="2" t="inlineStr">
        <is>
          <t>Ready</t>
        </is>
      </c>
      <c r="J230" s="38" t="inlineStr">
        <is>
          <t>In progress</t>
        </is>
      </c>
      <c r="K230" s="33" t="inlineStr">
        <is>
          <t>Done</t>
        </is>
      </c>
      <c r="L230" s="24" t="inlineStr">
        <is>
          <t>Not assessed</t>
        </is>
      </c>
      <c r="M230" s="24" t="inlineStr">
        <is>
          <t>Not assessed</t>
        </is>
      </c>
      <c r="N230" s="24" t="inlineStr">
        <is>
          <t>Not assessed</t>
        </is>
      </c>
      <c r="O230" s="35" t="n"/>
      <c r="P230" s="24" t="inlineStr">
        <is>
          <t>Not scheduled</t>
        </is>
      </c>
      <c r="Q230" s="24" t="n"/>
      <c r="R230" s="24" t="inlineStr">
        <is>
          <t>No way to mark an action served</t>
        </is>
      </c>
      <c r="S230" s="24" t="n"/>
      <c r="T230" s="24" t="n"/>
      <c r="U230" s="36" t="n">
        <v>46285</v>
      </c>
      <c r="V230" s="24" t="n"/>
      <c r="W230" s="15">
        <f>IF(P230="Production",IF(X230="Yes","Released","Review release"),IF(P230="Rolled back","Rolled back",IF(OR(Q230&lt;&gt;"",COUNTIFS(J230:N230,"Blocked")&gt;0),"Blocked",IF(OR(M230="Failed",N230="Rejected",AND(ISNUMBER(O230),O230&gt;0)),"Rework",IF(X230="Yes","Ready for release",IF(N230="Accepted","Verify completion",IF(OR(M230="Passed",M230="In progress",N230="In review"),"Testing / review",IF(OR(COUNTIFS(J230:L230,"In progress")&gt;0,COUNTIFS(J230:L230,"In review")&gt;0,COUNTIFS(J230:L230,"Done")&gt;0),"In progress",IF(COUNTIFS(J230:N230,"Not assessed")=5,"Not assessed","Planned")))))))))</f>
        <v/>
      </c>
      <c r="X230" s="15">
        <f>IF(AND(J230="Done",OR(K230="Done",K230="Not required"),OR(L230="Done",L230="Not required"),M230="Passed",N230="Accepted",ISNUMBER(O230),O230=0,Q230="",F230&lt;&gt;"",S230&lt;&gt;"",T230&lt;&gt;"",ISNUMBER(U230),OR(AND(K230&lt;&gt;"Not required",L230&lt;&gt;"Not required"),V230&lt;&gt;""),P230&lt;&gt;"Rolled back"),"Yes","No")</f>
        <v/>
      </c>
      <c r="Y230" s="15">
        <f>IF(X230="Yes","Completed",IF(H230="","No deadline",IF(NOT(ISNUMBER(H230)),"Check date",IF(H230&lt;Overview!$I$3,"Overdue",IF(H230&lt;=Overview!$I$3+7,"Due soon","On track")))))</f>
        <v/>
      </c>
      <c r="Z230" s="37">
        <f>IF(AND(X230&lt;&gt;"Yes",ISNUMBER(H230)),MAX(0,Overview!$I$3-H230),0)</f>
        <v/>
      </c>
      <c r="AA230" s="5" t="inlineStr">
        <is>
          <t>Nurse / Medical Officer</t>
        </is>
      </c>
      <c r="AB230" t="inlineStr">
        <is>
          <t>/school/discipline</t>
        </is>
      </c>
    </row>
    <row r="231" ht="35" customHeight="1">
      <c r="A231" s="2" t="inlineStr">
        <is>
          <t>SCR-225</t>
        </is>
      </c>
      <c r="B231" s="5" t="inlineStr">
        <is>
          <t>Emergency Contacts &amp; Escalation</t>
        </is>
      </c>
      <c r="C231" s="5" t="inlineStr">
        <is>
          <t>Health / Counselling / Discipline</t>
        </is>
      </c>
      <c r="D231" s="2" t="inlineStr">
        <is>
          <t>Phase 3</t>
        </is>
      </c>
      <c r="E231" s="2" t="inlineStr">
        <is>
          <t>US-0449, US-0450</t>
        </is>
      </c>
      <c r="F231" s="24" t="n"/>
      <c r="G231" s="24" t="n"/>
      <c r="H231" s="32" t="n"/>
      <c r="I231" s="2" t="inlineStr">
        <is>
          <t>Ready</t>
        </is>
      </c>
      <c r="J231" s="38" t="inlineStr">
        <is>
          <t>In progress</t>
        </is>
      </c>
      <c r="K231" s="38" t="inlineStr">
        <is>
          <t>In progress</t>
        </is>
      </c>
      <c r="L231" s="24" t="inlineStr">
        <is>
          <t>Not assessed</t>
        </is>
      </c>
      <c r="M231" s="24" t="inlineStr">
        <is>
          <t>Not assessed</t>
        </is>
      </c>
      <c r="N231" s="24" t="inlineStr">
        <is>
          <t>Not assessed</t>
        </is>
      </c>
      <c r="O231" s="35" t="n"/>
      <c r="P231" s="24" t="inlineStr">
        <is>
          <t>Not scheduled</t>
        </is>
      </c>
      <c r="Q231" s="24" t="n"/>
      <c r="R231" s="24" t="inlineStr">
        <is>
          <t>Contacts shown; no escalation chain</t>
        </is>
      </c>
      <c r="S231" s="24" t="n"/>
      <c r="T231" s="24" t="n"/>
      <c r="U231" s="36" t="n">
        <v>46285</v>
      </c>
      <c r="V231" s="24" t="n"/>
      <c r="W231" s="15">
        <f>IF(P231="Production",IF(X231="Yes","Released","Review release"),IF(P231="Rolled back","Rolled back",IF(OR(Q231&lt;&gt;"",COUNTIFS(J231:N231,"Blocked")&gt;0),"Blocked",IF(OR(M231="Failed",N231="Rejected",AND(ISNUMBER(O231),O231&gt;0)),"Rework",IF(X231="Yes","Ready for release",IF(N231="Accepted","Verify completion",IF(OR(M231="Passed",M231="In progress",N231="In review"),"Testing / review",IF(OR(COUNTIFS(J231:L231,"In progress")&gt;0,COUNTIFS(J231:L231,"In review")&gt;0,COUNTIFS(J231:L231,"Done")&gt;0),"In progress",IF(COUNTIFS(J231:N231,"Not assessed")=5,"Not assessed","Planned")))))))))</f>
        <v/>
      </c>
      <c r="X231" s="15">
        <f>IF(AND(J231="Done",OR(K231="Done",K231="Not required"),OR(L231="Done",L231="Not required"),M231="Passed",N231="Accepted",ISNUMBER(O231),O231=0,Q231="",F231&lt;&gt;"",S231&lt;&gt;"",T231&lt;&gt;"",ISNUMBER(U231),OR(AND(K231&lt;&gt;"Not required",L231&lt;&gt;"Not required"),V231&lt;&gt;""),P231&lt;&gt;"Rolled back"),"Yes","No")</f>
        <v/>
      </c>
      <c r="Y231" s="15">
        <f>IF(X231="Yes","Completed",IF(H231="","No deadline",IF(NOT(ISNUMBER(H231)),"Check date",IF(H231&lt;Overview!$I$3,"Overdue",IF(H231&lt;=Overview!$I$3+7,"Due soon","On track")))))</f>
        <v/>
      </c>
      <c r="Z231" s="37">
        <f>IF(AND(X231&lt;&gt;"Yes",ISNUMBER(H231)),MAX(0,Overview!$I$3-H231),0)</f>
        <v/>
      </c>
      <c r="AA231" s="5" t="inlineStr">
        <is>
          <t>Nurse / Medical Officer</t>
        </is>
      </c>
      <c r="AB231" t="inlineStr">
        <is>
          <t>/school/health</t>
        </is>
      </c>
    </row>
    <row r="232" ht="35" customHeight="1">
      <c r="A232" s="2" t="inlineStr">
        <is>
          <t>SCR-226</t>
        </is>
      </c>
      <c r="B232" s="5" t="inlineStr">
        <is>
          <t>Visitor Dashboard</t>
        </is>
      </c>
      <c r="C232" s="5" t="inlineStr">
        <is>
          <t>Visitor / Gate / Security</t>
        </is>
      </c>
      <c r="D232" s="2" t="inlineStr">
        <is>
          <t>Phase 2</t>
        </is>
      </c>
      <c r="E232" s="2" t="inlineStr">
        <is>
          <t>US-0451, US-0452</t>
        </is>
      </c>
      <c r="F232" s="24" t="n"/>
      <c r="G232" s="24" t="n"/>
      <c r="H232" s="32" t="n"/>
      <c r="I232" s="2" t="inlineStr">
        <is>
          <t>Ready</t>
        </is>
      </c>
      <c r="J232" s="33" t="inlineStr">
        <is>
          <t>Done</t>
        </is>
      </c>
      <c r="K232" s="33" t="inlineStr">
        <is>
          <t>Done</t>
        </is>
      </c>
      <c r="L232" s="24" t="inlineStr">
        <is>
          <t>Not assessed</t>
        </is>
      </c>
      <c r="M232" s="24" t="inlineStr">
        <is>
          <t>Not assessed</t>
        </is>
      </c>
      <c r="N232" s="24" t="inlineStr">
        <is>
          <t>Not assessed</t>
        </is>
      </c>
      <c r="O232" s="35" t="n"/>
      <c r="P232" s="24" t="inlineStr">
        <is>
          <t>Not scheduled</t>
        </is>
      </c>
      <c r="Q232" s="24" t="n"/>
      <c r="R232" s="24" t="inlineStr">
        <is>
          <t>Six stat cards including inside now</t>
        </is>
      </c>
      <c r="S232" s="24" t="n"/>
      <c r="T232" s="24" t="n"/>
      <c r="U232" s="36" t="n">
        <v>46285</v>
      </c>
      <c r="V232" s="24" t="n"/>
      <c r="W232" s="15">
        <f>IF(P232="Production",IF(X232="Yes","Released","Review release"),IF(P232="Rolled back","Rolled back",IF(OR(Q232&lt;&gt;"",COUNTIFS(J232:N232,"Blocked")&gt;0),"Blocked",IF(OR(M232="Failed",N232="Rejected",AND(ISNUMBER(O232),O232&gt;0)),"Rework",IF(X232="Yes","Ready for release",IF(N232="Accepted","Verify completion",IF(OR(M232="Passed",M232="In progress",N232="In review"),"Testing / review",IF(OR(COUNTIFS(J232:L232,"In progress")&gt;0,COUNTIFS(J232:L232,"In review")&gt;0,COUNTIFS(J232:L232,"Done")&gt;0),"In progress",IF(COUNTIFS(J232:N232,"Not assessed")=5,"Not assessed","Planned")))))))))</f>
        <v/>
      </c>
      <c r="X232" s="15">
        <f>IF(AND(J232="Done",OR(K232="Done",K232="Not required"),OR(L232="Done",L232="Not required"),M232="Passed",N232="Accepted",ISNUMBER(O232),O232=0,Q232="",F232&lt;&gt;"",S232&lt;&gt;"",T232&lt;&gt;"",ISNUMBER(U232),OR(AND(K232&lt;&gt;"Not required",L232&lt;&gt;"Not required"),V232&lt;&gt;""),P232&lt;&gt;"Rolled back"),"Yes","No")</f>
        <v/>
      </c>
      <c r="Y232" s="15">
        <f>IF(X232="Yes","Completed",IF(H232="","No deadline",IF(NOT(ISNUMBER(H232)),"Check date",IF(H232&lt;Overview!$I$3,"Overdue",IF(H232&lt;=Overview!$I$3+7,"Due soon","On track")))))</f>
        <v/>
      </c>
      <c r="Z232" s="37">
        <f>IF(AND(X232&lt;&gt;"Yes",ISNUMBER(H232)),MAX(0,Overview!$I$3-H232),0)</f>
        <v/>
      </c>
      <c r="AA232" s="5" t="inlineStr">
        <is>
          <t>Security</t>
        </is>
      </c>
      <c r="AB232" t="inlineStr">
        <is>
          <t>/school/front-desk</t>
        </is>
      </c>
    </row>
    <row r="233" ht="35" customHeight="1">
      <c r="A233" s="2" t="inlineStr">
        <is>
          <t>SCR-227</t>
        </is>
      </c>
      <c r="B233" s="5" t="inlineStr">
        <is>
          <t>Visitor Check-in</t>
        </is>
      </c>
      <c r="C233" s="5" t="inlineStr">
        <is>
          <t>Visitor / Gate / Security</t>
        </is>
      </c>
      <c r="D233" s="2" t="inlineStr">
        <is>
          <t>Phase 2</t>
        </is>
      </c>
      <c r="E233" s="2" t="inlineStr">
        <is>
          <t>US-0453, US-0454</t>
        </is>
      </c>
      <c r="F233" s="24" t="n"/>
      <c r="G233" s="24" t="n"/>
      <c r="H233" s="32" t="n"/>
      <c r="I233" s="2" t="inlineStr">
        <is>
          <t>Ready</t>
        </is>
      </c>
      <c r="J233" s="33" t="inlineStr">
        <is>
          <t>Done</t>
        </is>
      </c>
      <c r="K233" s="33" t="inlineStr">
        <is>
          <t>Done</t>
        </is>
      </c>
      <c r="L233" s="24" t="inlineStr">
        <is>
          <t>Not assessed</t>
        </is>
      </c>
      <c r="M233" s="24" t="inlineStr">
        <is>
          <t>Not assessed</t>
        </is>
      </c>
      <c r="N233" s="24" t="inlineStr">
        <is>
          <t>Not assessed</t>
        </is>
      </c>
      <c r="O233" s="35" t="n"/>
      <c r="P233" s="24" t="inlineStr">
        <is>
          <t>Not scheduled</t>
        </is>
      </c>
      <c r="Q233" s="24" t="n"/>
      <c r="R233" s="24" t="inlineStr">
        <is>
          <t>Walk-in check-in with ID and host</t>
        </is>
      </c>
      <c r="S233" s="24" t="n"/>
      <c r="T233" s="24" t="n"/>
      <c r="U233" s="36" t="n">
        <v>46285</v>
      </c>
      <c r="V233" s="24" t="n"/>
      <c r="W233" s="15">
        <f>IF(P233="Production",IF(X233="Yes","Released","Review release"),IF(P233="Rolled back","Rolled back",IF(OR(Q233&lt;&gt;"",COUNTIFS(J233:N233,"Blocked")&gt;0),"Blocked",IF(OR(M233="Failed",N233="Rejected",AND(ISNUMBER(O233),O233&gt;0)),"Rework",IF(X233="Yes","Ready for release",IF(N233="Accepted","Verify completion",IF(OR(M233="Passed",M233="In progress",N233="In review"),"Testing / review",IF(OR(COUNTIFS(J233:L233,"In progress")&gt;0,COUNTIFS(J233:L233,"In review")&gt;0,COUNTIFS(J233:L233,"Done")&gt;0),"In progress",IF(COUNTIFS(J233:N233,"Not assessed")=5,"Not assessed","Planned")))))))))</f>
        <v/>
      </c>
      <c r="X233" s="15">
        <f>IF(AND(J233="Done",OR(K233="Done",K233="Not required"),OR(L233="Done",L233="Not required"),M233="Passed",N233="Accepted",ISNUMBER(O233),O233=0,Q233="",F233&lt;&gt;"",S233&lt;&gt;"",T233&lt;&gt;"",ISNUMBER(U233),OR(AND(K233&lt;&gt;"Not required",L233&lt;&gt;"Not required"),V233&lt;&gt;""),P233&lt;&gt;"Rolled back"),"Yes","No")</f>
        <v/>
      </c>
      <c r="Y233" s="15">
        <f>IF(X233="Yes","Completed",IF(H233="","No deadline",IF(NOT(ISNUMBER(H233)),"Check date",IF(H233&lt;Overview!$I$3,"Overdue",IF(H233&lt;=Overview!$I$3+7,"Due soon","On track")))))</f>
        <v/>
      </c>
      <c r="Z233" s="37">
        <f>IF(AND(X233&lt;&gt;"Yes",ISNUMBER(H233)),MAX(0,Overview!$I$3-H233),0)</f>
        <v/>
      </c>
      <c r="AA233" s="5" t="inlineStr">
        <is>
          <t>Security</t>
        </is>
      </c>
      <c r="AB233" t="inlineStr">
        <is>
          <t>/school/front-desk</t>
        </is>
      </c>
    </row>
    <row r="234" ht="35" customHeight="1">
      <c r="A234" s="2" t="inlineStr">
        <is>
          <t>SCR-228</t>
        </is>
      </c>
      <c r="B234" s="5" t="inlineStr">
        <is>
          <t>Visitor Approval</t>
        </is>
      </c>
      <c r="C234" s="5" t="inlineStr">
        <is>
          <t>Visitor / Gate / Security</t>
        </is>
      </c>
      <c r="D234" s="2" t="inlineStr">
        <is>
          <t>Phase 2</t>
        </is>
      </c>
      <c r="E234" s="2" t="inlineStr">
        <is>
          <t>US-0455, US-0456</t>
        </is>
      </c>
      <c r="F234" s="24" t="n"/>
      <c r="G234" s="24" t="n"/>
      <c r="H234" s="32" t="n"/>
      <c r="I234" s="2" t="inlineStr">
        <is>
          <t>Ready</t>
        </is>
      </c>
      <c r="J234" s="33" t="inlineStr">
        <is>
          <t>Done</t>
        </is>
      </c>
      <c r="K234" s="33" t="inlineStr">
        <is>
          <t>Done</t>
        </is>
      </c>
      <c r="L234" s="24" t="inlineStr">
        <is>
          <t>Not assessed</t>
        </is>
      </c>
      <c r="M234" s="24" t="inlineStr">
        <is>
          <t>Not assessed</t>
        </is>
      </c>
      <c r="N234" s="24" t="inlineStr">
        <is>
          <t>Not assessed</t>
        </is>
      </c>
      <c r="O234" s="35" t="n"/>
      <c r="P234" s="24" t="inlineStr">
        <is>
          <t>Not scheduled</t>
        </is>
      </c>
      <c r="Q234" s="24" t="n"/>
      <c r="R234" s="24" t="inlineStr">
        <is>
          <t>Host confirms or declines an expected visitor</t>
        </is>
      </c>
      <c r="S234" s="24" t="n"/>
      <c r="T234" s="24" t="n"/>
      <c r="U234" s="36" t="n">
        <v>46285</v>
      </c>
      <c r="V234" s="24" t="n"/>
      <c r="W234" s="15">
        <f>IF(P234="Production",IF(X234="Yes","Released","Review release"),IF(P234="Rolled back","Rolled back",IF(OR(Q234&lt;&gt;"",COUNTIFS(J234:N234,"Blocked")&gt;0),"Blocked",IF(OR(M234="Failed",N234="Rejected",AND(ISNUMBER(O234),O234&gt;0)),"Rework",IF(X234="Yes","Ready for release",IF(N234="Accepted","Verify completion",IF(OR(M234="Passed",M234="In progress",N234="In review"),"Testing / review",IF(OR(COUNTIFS(J234:L234,"In progress")&gt;0,COUNTIFS(J234:L234,"In review")&gt;0,COUNTIFS(J234:L234,"Done")&gt;0),"In progress",IF(COUNTIFS(J234:N234,"Not assessed")=5,"Not assessed","Planned")))))))))</f>
        <v/>
      </c>
      <c r="X234" s="15">
        <f>IF(AND(J234="Done",OR(K234="Done",K234="Not required"),OR(L234="Done",L234="Not required"),M234="Passed",N234="Accepted",ISNUMBER(O234),O234=0,Q234="",F234&lt;&gt;"",S234&lt;&gt;"",T234&lt;&gt;"",ISNUMBER(U234),OR(AND(K234&lt;&gt;"Not required",L234&lt;&gt;"Not required"),V234&lt;&gt;""),P234&lt;&gt;"Rolled back"),"Yes","No")</f>
        <v/>
      </c>
      <c r="Y234" s="15">
        <f>IF(X234="Yes","Completed",IF(H234="","No deadline",IF(NOT(ISNUMBER(H234)),"Check date",IF(H234&lt;Overview!$I$3,"Overdue",IF(H234&lt;=Overview!$I$3+7,"Due soon","On track")))))</f>
        <v/>
      </c>
      <c r="Z234" s="37">
        <f>IF(AND(X234&lt;&gt;"Yes",ISNUMBER(H234)),MAX(0,Overview!$I$3-H234),0)</f>
        <v/>
      </c>
      <c r="AA234" s="5" t="inlineStr">
        <is>
          <t>Security</t>
        </is>
      </c>
      <c r="AB234" t="inlineStr">
        <is>
          <t>/school/front-desk</t>
        </is>
      </c>
    </row>
    <row r="235" ht="35" customHeight="1">
      <c r="A235" s="2" t="inlineStr">
        <is>
          <t>SCR-229</t>
        </is>
      </c>
      <c r="B235" s="5" t="inlineStr">
        <is>
          <t>Visitor Pass</t>
        </is>
      </c>
      <c r="C235" s="5" t="inlineStr">
        <is>
          <t>Visitor / Gate / Security</t>
        </is>
      </c>
      <c r="D235" s="2" t="inlineStr">
        <is>
          <t>Phase 2</t>
        </is>
      </c>
      <c r="E235" s="2" t="inlineStr">
        <is>
          <t>US-0457, US-0458</t>
        </is>
      </c>
      <c r="F235" s="24" t="n"/>
      <c r="G235" s="24" t="n"/>
      <c r="H235" s="32" t="n"/>
      <c r="I235" s="2" t="inlineStr">
        <is>
          <t>Ready</t>
        </is>
      </c>
      <c r="J235" s="38" t="inlineStr">
        <is>
          <t>In progress</t>
        </is>
      </c>
      <c r="K235" s="38" t="inlineStr">
        <is>
          <t>In progress</t>
        </is>
      </c>
      <c r="L235" s="24" t="inlineStr">
        <is>
          <t>Not assessed</t>
        </is>
      </c>
      <c r="M235" s="24" t="inlineStr">
        <is>
          <t>Not assessed</t>
        </is>
      </c>
      <c r="N235" s="24" t="inlineStr">
        <is>
          <t>Not assessed</t>
        </is>
      </c>
      <c r="O235" s="35" t="n"/>
      <c r="P235" s="24" t="inlineStr">
        <is>
          <t>Not scheduled</t>
        </is>
      </c>
      <c r="Q235" s="24" t="n"/>
      <c r="R235" s="24" t="inlineStr">
        <is>
          <t>Pass number shown, nothing printable</t>
        </is>
      </c>
      <c r="S235" s="24" t="n"/>
      <c r="T235" s="24" t="n"/>
      <c r="U235" s="36" t="n">
        <v>46285</v>
      </c>
      <c r="V235" s="24" t="n"/>
      <c r="W235" s="15">
        <f>IF(P235="Production",IF(X235="Yes","Released","Review release"),IF(P235="Rolled back","Rolled back",IF(OR(Q235&lt;&gt;"",COUNTIFS(J235:N235,"Blocked")&gt;0),"Blocked",IF(OR(M235="Failed",N235="Rejected",AND(ISNUMBER(O235),O235&gt;0)),"Rework",IF(X235="Yes","Ready for release",IF(N235="Accepted","Verify completion",IF(OR(M235="Passed",M235="In progress",N235="In review"),"Testing / review",IF(OR(COUNTIFS(J235:L235,"In progress")&gt;0,COUNTIFS(J235:L235,"In review")&gt;0,COUNTIFS(J235:L235,"Done")&gt;0),"In progress",IF(COUNTIFS(J235:N235,"Not assessed")=5,"Not assessed","Planned")))))))))</f>
        <v/>
      </c>
      <c r="X235" s="15">
        <f>IF(AND(J235="Done",OR(K235="Done",K235="Not required"),OR(L235="Done",L235="Not required"),M235="Passed",N235="Accepted",ISNUMBER(O235),O235=0,Q235="",F235&lt;&gt;"",S235&lt;&gt;"",T235&lt;&gt;"",ISNUMBER(U235),OR(AND(K235&lt;&gt;"Not required",L235&lt;&gt;"Not required"),V235&lt;&gt;""),P235&lt;&gt;"Rolled back"),"Yes","No")</f>
        <v/>
      </c>
      <c r="Y235" s="15">
        <f>IF(X235="Yes","Completed",IF(H235="","No deadline",IF(NOT(ISNUMBER(H235)),"Check date",IF(H235&lt;Overview!$I$3,"Overdue",IF(H235&lt;=Overview!$I$3+7,"Due soon","On track")))))</f>
        <v/>
      </c>
      <c r="Z235" s="37">
        <f>IF(AND(X235&lt;&gt;"Yes",ISNUMBER(H235)),MAX(0,Overview!$I$3-H235),0)</f>
        <v/>
      </c>
      <c r="AA235" s="5" t="inlineStr">
        <is>
          <t>Security</t>
        </is>
      </c>
      <c r="AB235" t="inlineStr">
        <is>
          <t>/school/front-desk</t>
        </is>
      </c>
    </row>
    <row r="236" ht="35" customHeight="1">
      <c r="A236" s="2" t="inlineStr">
        <is>
          <t>SCR-230</t>
        </is>
      </c>
      <c r="B236" s="5" t="inlineStr">
        <is>
          <t>Visitor Check-out</t>
        </is>
      </c>
      <c r="C236" s="5" t="inlineStr">
        <is>
          <t>Visitor / Gate / Security</t>
        </is>
      </c>
      <c r="D236" s="2" t="inlineStr">
        <is>
          <t>Phase 3</t>
        </is>
      </c>
      <c r="E236" s="2" t="inlineStr">
        <is>
          <t>US-0459, US-0460</t>
        </is>
      </c>
      <c r="F236" s="24" t="n"/>
      <c r="G236" s="24" t="n"/>
      <c r="H236" s="32" t="n"/>
      <c r="I236" s="2" t="inlineStr">
        <is>
          <t>Ready</t>
        </is>
      </c>
      <c r="J236" s="33" t="inlineStr">
        <is>
          <t>Done</t>
        </is>
      </c>
      <c r="K236" s="33" t="inlineStr">
        <is>
          <t>Done</t>
        </is>
      </c>
      <c r="L236" s="24" t="inlineStr">
        <is>
          <t>Not assessed</t>
        </is>
      </c>
      <c r="M236" s="24" t="inlineStr">
        <is>
          <t>Not assessed</t>
        </is>
      </c>
      <c r="N236" s="24" t="inlineStr">
        <is>
          <t>Not assessed</t>
        </is>
      </c>
      <c r="O236" s="35" t="n"/>
      <c r="P236" s="24" t="inlineStr">
        <is>
          <t>Not scheduled</t>
        </is>
      </c>
      <c r="Q236" s="24" t="n"/>
      <c r="R236" s="24" t="inlineStr">
        <is>
          <t>Check out with minutes inside</t>
        </is>
      </c>
      <c r="S236" s="24" t="n"/>
      <c r="T236" s="24" t="n"/>
      <c r="U236" s="36" t="n">
        <v>46285</v>
      </c>
      <c r="V236" s="24" t="n"/>
      <c r="W236" s="15">
        <f>IF(P236="Production",IF(X236="Yes","Released","Review release"),IF(P236="Rolled back","Rolled back",IF(OR(Q236&lt;&gt;"",COUNTIFS(J236:N236,"Blocked")&gt;0),"Blocked",IF(OR(M236="Failed",N236="Rejected",AND(ISNUMBER(O236),O236&gt;0)),"Rework",IF(X236="Yes","Ready for release",IF(N236="Accepted","Verify completion",IF(OR(M236="Passed",M236="In progress",N236="In review"),"Testing / review",IF(OR(COUNTIFS(J236:L236,"In progress")&gt;0,COUNTIFS(J236:L236,"In review")&gt;0,COUNTIFS(J236:L236,"Done")&gt;0),"In progress",IF(COUNTIFS(J236:N236,"Not assessed")=5,"Not assessed","Planned")))))))))</f>
        <v/>
      </c>
      <c r="X236" s="15">
        <f>IF(AND(J236="Done",OR(K236="Done",K236="Not required"),OR(L236="Done",L236="Not required"),M236="Passed",N236="Accepted",ISNUMBER(O236),O236=0,Q236="",F236&lt;&gt;"",S236&lt;&gt;"",T236&lt;&gt;"",ISNUMBER(U236),OR(AND(K236&lt;&gt;"Not required",L236&lt;&gt;"Not required"),V236&lt;&gt;""),P236&lt;&gt;"Rolled back"),"Yes","No")</f>
        <v/>
      </c>
      <c r="Y236" s="15">
        <f>IF(X236="Yes","Completed",IF(H236="","No deadline",IF(NOT(ISNUMBER(H236)),"Check date",IF(H236&lt;Overview!$I$3,"Overdue",IF(H236&lt;=Overview!$I$3+7,"Due soon","On track")))))</f>
        <v/>
      </c>
      <c r="Z236" s="37">
        <f>IF(AND(X236&lt;&gt;"Yes",ISNUMBER(H236)),MAX(0,Overview!$I$3-H236),0)</f>
        <v/>
      </c>
      <c r="AA236" s="5" t="inlineStr">
        <is>
          <t>Security</t>
        </is>
      </c>
      <c r="AB236" t="inlineStr">
        <is>
          <t>/school/front-desk</t>
        </is>
      </c>
    </row>
    <row r="237" ht="35" customHeight="1">
      <c r="A237" s="2" t="inlineStr">
        <is>
          <t>SCR-231</t>
        </is>
      </c>
      <c r="B237" s="5" t="inlineStr">
        <is>
          <t>Student Early Pickup / Gate Pass</t>
        </is>
      </c>
      <c r="C237" s="5" t="inlineStr">
        <is>
          <t>Visitor / Gate / Security</t>
        </is>
      </c>
      <c r="D237" s="2" t="inlineStr">
        <is>
          <t>Phase 3</t>
        </is>
      </c>
      <c r="E237" s="2" t="inlineStr">
        <is>
          <t>US-0461, US-0462</t>
        </is>
      </c>
      <c r="F237" s="24" t="n"/>
      <c r="G237" s="24" t="n"/>
      <c r="H237" s="32" t="n"/>
      <c r="I237" s="2" t="inlineStr">
        <is>
          <t>Ready</t>
        </is>
      </c>
      <c r="J237" s="33" t="inlineStr">
        <is>
          <t>Done</t>
        </is>
      </c>
      <c r="K237" s="33" t="inlineStr">
        <is>
          <t>Done</t>
        </is>
      </c>
      <c r="L237" s="24" t="inlineStr">
        <is>
          <t>Not assessed</t>
        </is>
      </c>
      <c r="M237" s="24" t="inlineStr">
        <is>
          <t>Not assessed</t>
        </is>
      </c>
      <c r="N237" s="24" t="inlineStr">
        <is>
          <t>Not assessed</t>
        </is>
      </c>
      <c r="O237" s="35" t="n"/>
      <c r="P237" s="24" t="inlineStr">
        <is>
          <t>Not scheduled</t>
        </is>
      </c>
      <c r="Q237" s="24" t="n"/>
      <c r="R237" s="24" t="inlineStr">
        <is>
          <t>Issue, approve, verify code, release</t>
        </is>
      </c>
      <c r="S237" s="24" t="n"/>
      <c r="T237" s="24" t="n"/>
      <c r="U237" s="36" t="n">
        <v>46285</v>
      </c>
      <c r="V237" s="24" t="n"/>
      <c r="W237" s="15">
        <f>IF(P237="Production",IF(X237="Yes","Released","Review release"),IF(P237="Rolled back","Rolled back",IF(OR(Q237&lt;&gt;"",COUNTIFS(J237:N237,"Blocked")&gt;0),"Blocked",IF(OR(M237="Failed",N237="Rejected",AND(ISNUMBER(O237),O237&gt;0)),"Rework",IF(X237="Yes","Ready for release",IF(N237="Accepted","Verify completion",IF(OR(M237="Passed",M237="In progress",N237="In review"),"Testing / review",IF(OR(COUNTIFS(J237:L237,"In progress")&gt;0,COUNTIFS(J237:L237,"In review")&gt;0,COUNTIFS(J237:L237,"Done")&gt;0),"In progress",IF(COUNTIFS(J237:N237,"Not assessed")=5,"Not assessed","Planned")))))))))</f>
        <v/>
      </c>
      <c r="X237" s="15">
        <f>IF(AND(J237="Done",OR(K237="Done",K237="Not required"),OR(L237="Done",L237="Not required"),M237="Passed",N237="Accepted",ISNUMBER(O237),O237=0,Q237="",F237&lt;&gt;"",S237&lt;&gt;"",T237&lt;&gt;"",ISNUMBER(U237),OR(AND(K237&lt;&gt;"Not required",L237&lt;&gt;"Not required"),V237&lt;&gt;""),P237&lt;&gt;"Rolled back"),"Yes","No")</f>
        <v/>
      </c>
      <c r="Y237" s="15">
        <f>IF(X237="Yes","Completed",IF(H237="","No deadline",IF(NOT(ISNUMBER(H237)),"Check date",IF(H237&lt;Overview!$I$3,"Overdue",IF(H237&lt;=Overview!$I$3+7,"Due soon","On track")))))</f>
        <v/>
      </c>
      <c r="Z237" s="37">
        <f>IF(AND(X237&lt;&gt;"Yes",ISNUMBER(H237)),MAX(0,Overview!$I$3-H237),0)</f>
        <v/>
      </c>
      <c r="AA237" s="5" t="inlineStr">
        <is>
          <t>Security</t>
        </is>
      </c>
      <c r="AB237" t="inlineStr">
        <is>
          <t>/school/front-desk</t>
        </is>
      </c>
    </row>
    <row r="238" ht="35" customHeight="1">
      <c r="A238" s="2" t="inlineStr">
        <is>
          <t>SCR-232</t>
        </is>
      </c>
      <c r="B238" s="5" t="inlineStr">
        <is>
          <t>Staff &amp; Vehicle Gate Log</t>
        </is>
      </c>
      <c r="C238" s="5" t="inlineStr">
        <is>
          <t>Visitor / Gate / Security</t>
        </is>
      </c>
      <c r="D238" s="2" t="inlineStr">
        <is>
          <t>Phase 3</t>
        </is>
      </c>
      <c r="E238" s="2" t="inlineStr">
        <is>
          <t>US-0463, US-0464</t>
        </is>
      </c>
      <c r="F238" s="24" t="n"/>
      <c r="G238" s="24" t="n"/>
      <c r="H238" s="32" t="n"/>
      <c r="I238" s="2" t="inlineStr">
        <is>
          <t>Ready</t>
        </is>
      </c>
      <c r="J238" s="38" t="inlineStr">
        <is>
          <t>In progress</t>
        </is>
      </c>
      <c r="K238" s="38" t="inlineStr">
        <is>
          <t>In progress</t>
        </is>
      </c>
      <c r="L238" s="24" t="inlineStr">
        <is>
          <t>Not assessed</t>
        </is>
      </c>
      <c r="M238" s="24" t="inlineStr">
        <is>
          <t>Not assessed</t>
        </is>
      </c>
      <c r="N238" s="24" t="inlineStr">
        <is>
          <t>Not assessed</t>
        </is>
      </c>
      <c r="O238" s="35" t="n"/>
      <c r="P238" s="24" t="inlineStr">
        <is>
          <t>Not scheduled</t>
        </is>
      </c>
      <c r="Q238" s="24" t="n"/>
      <c r="R238" s="24" t="inlineStr">
        <is>
          <t>Vehicle captured; no staff gate log</t>
        </is>
      </c>
      <c r="S238" s="24" t="n"/>
      <c r="T238" s="24" t="n"/>
      <c r="U238" s="36" t="n">
        <v>46285</v>
      </c>
      <c r="V238" s="24" t="n"/>
      <c r="W238" s="15">
        <f>IF(P238="Production",IF(X238="Yes","Released","Review release"),IF(P238="Rolled back","Rolled back",IF(OR(Q238&lt;&gt;"",COUNTIFS(J238:N238,"Blocked")&gt;0),"Blocked",IF(OR(M238="Failed",N238="Rejected",AND(ISNUMBER(O238),O238&gt;0)),"Rework",IF(X238="Yes","Ready for release",IF(N238="Accepted","Verify completion",IF(OR(M238="Passed",M238="In progress",N238="In review"),"Testing / review",IF(OR(COUNTIFS(J238:L238,"In progress")&gt;0,COUNTIFS(J238:L238,"In review")&gt;0,COUNTIFS(J238:L238,"Done")&gt;0),"In progress",IF(COUNTIFS(J238:N238,"Not assessed")=5,"Not assessed","Planned")))))))))</f>
        <v/>
      </c>
      <c r="X238" s="15">
        <f>IF(AND(J238="Done",OR(K238="Done",K238="Not required"),OR(L238="Done",L238="Not required"),M238="Passed",N238="Accepted",ISNUMBER(O238),O238=0,Q238="",F238&lt;&gt;"",S238&lt;&gt;"",T238&lt;&gt;"",ISNUMBER(U238),OR(AND(K238&lt;&gt;"Not required",L238&lt;&gt;"Not required"),V238&lt;&gt;""),P238&lt;&gt;"Rolled back"),"Yes","No")</f>
        <v/>
      </c>
      <c r="Y238" s="15">
        <f>IF(X238="Yes","Completed",IF(H238="","No deadline",IF(NOT(ISNUMBER(H238)),"Check date",IF(H238&lt;Overview!$I$3,"Overdue",IF(H238&lt;=Overview!$I$3+7,"Due soon","On track")))))</f>
        <v/>
      </c>
      <c r="Z238" s="37">
        <f>IF(AND(X238&lt;&gt;"Yes",ISNUMBER(H238)),MAX(0,Overview!$I$3-H238),0)</f>
        <v/>
      </c>
      <c r="AA238" s="5" t="inlineStr">
        <is>
          <t>Security</t>
        </is>
      </c>
      <c r="AB238" t="inlineStr">
        <is>
          <t>/school/front-desk</t>
        </is>
      </c>
    </row>
    <row r="239" ht="35" customHeight="1">
      <c r="A239" s="2" t="inlineStr">
        <is>
          <t>SCR-233</t>
        </is>
      </c>
      <c r="B239" s="5" t="inlineStr">
        <is>
          <t>Security Incident Log</t>
        </is>
      </c>
      <c r="C239" s="5" t="inlineStr">
        <is>
          <t>Visitor / Gate / Security</t>
        </is>
      </c>
      <c r="D239" s="2" t="inlineStr">
        <is>
          <t>Phase 3</t>
        </is>
      </c>
      <c r="E239" s="2" t="inlineStr">
        <is>
          <t>US-0465, US-0466</t>
        </is>
      </c>
      <c r="F239" s="24" t="n"/>
      <c r="G239" s="24" t="n"/>
      <c r="H239" s="32" t="n"/>
      <c r="I239" s="2" t="inlineStr">
        <is>
          <t>Ready</t>
        </is>
      </c>
      <c r="J239" s="33" t="inlineStr">
        <is>
          <t>Done</t>
        </is>
      </c>
      <c r="K239" s="33" t="inlineStr">
        <is>
          <t>Done</t>
        </is>
      </c>
      <c r="L239" s="24" t="inlineStr">
        <is>
          <t>Not assessed</t>
        </is>
      </c>
      <c r="M239" s="24" t="inlineStr">
        <is>
          <t>Not assessed</t>
        </is>
      </c>
      <c r="N239" s="24" t="inlineStr">
        <is>
          <t>Not assessed</t>
        </is>
      </c>
      <c r="O239" s="35" t="n"/>
      <c r="P239" s="24" t="inlineStr">
        <is>
          <t>Not scheduled</t>
        </is>
      </c>
      <c r="Q239" s="24" t="n"/>
      <c r="R239" s="24" t="inlineStr">
        <is>
          <t>Log with time, place, severity, closure</t>
        </is>
      </c>
      <c r="S239" s="24" t="n"/>
      <c r="T239" s="24" t="n"/>
      <c r="U239" s="36" t="n">
        <v>46285</v>
      </c>
      <c r="V239" s="24" t="n"/>
      <c r="W239" s="15">
        <f>IF(P239="Production",IF(X239="Yes","Released","Review release"),IF(P239="Rolled back","Rolled back",IF(OR(Q239&lt;&gt;"",COUNTIFS(J239:N239,"Blocked")&gt;0),"Blocked",IF(OR(M239="Failed",N239="Rejected",AND(ISNUMBER(O239),O239&gt;0)),"Rework",IF(X239="Yes","Ready for release",IF(N239="Accepted","Verify completion",IF(OR(M239="Passed",M239="In progress",N239="In review"),"Testing / review",IF(OR(COUNTIFS(J239:L239,"In progress")&gt;0,COUNTIFS(J239:L239,"In review")&gt;0,COUNTIFS(J239:L239,"Done")&gt;0),"In progress",IF(COUNTIFS(J239:N239,"Not assessed")=5,"Not assessed","Planned")))))))))</f>
        <v/>
      </c>
      <c r="X239" s="15">
        <f>IF(AND(J239="Done",OR(K239="Done",K239="Not required"),OR(L239="Done",L239="Not required"),M239="Passed",N239="Accepted",ISNUMBER(O239),O239=0,Q239="",F239&lt;&gt;"",S239&lt;&gt;"",T239&lt;&gt;"",ISNUMBER(U239),OR(AND(K239&lt;&gt;"Not required",L239&lt;&gt;"Not required"),V239&lt;&gt;""),P239&lt;&gt;"Rolled back"),"Yes","No")</f>
        <v/>
      </c>
      <c r="Y239" s="15">
        <f>IF(X239="Yes","Completed",IF(H239="","No deadline",IF(NOT(ISNUMBER(H239)),"Check date",IF(H239&lt;Overview!$I$3,"Overdue",IF(H239&lt;=Overview!$I$3+7,"Due soon","On track")))))</f>
        <v/>
      </c>
      <c r="Z239" s="37">
        <f>IF(AND(X239&lt;&gt;"Yes",ISNUMBER(H239)),MAX(0,Overview!$I$3-H239),0)</f>
        <v/>
      </c>
      <c r="AA239" s="5" t="inlineStr">
        <is>
          <t>Security</t>
        </is>
      </c>
      <c r="AB239" t="inlineStr">
        <is>
          <t>/school/front-desk</t>
        </is>
      </c>
    </row>
    <row r="240" ht="35" customHeight="1">
      <c r="A240" s="2" t="inlineStr">
        <is>
          <t>SCR-234</t>
        </is>
      </c>
      <c r="B240" s="5" t="inlineStr">
        <is>
          <t>Inventory Dashboard</t>
        </is>
      </c>
      <c r="C240" s="5" t="inlineStr">
        <is>
          <t>Inventory / Assets / Labs</t>
        </is>
      </c>
      <c r="D240" s="2" t="inlineStr">
        <is>
          <t>Phase 2</t>
        </is>
      </c>
      <c r="E240" s="2" t="inlineStr">
        <is>
          <t>US-0467, US-0468</t>
        </is>
      </c>
      <c r="F240" s="24" t="n"/>
      <c r="G240" s="24" t="n"/>
      <c r="H240" s="32" t="n"/>
      <c r="I240" s="2" t="inlineStr">
        <is>
          <t>Ready</t>
        </is>
      </c>
      <c r="J240" s="33" t="inlineStr">
        <is>
          <t>Done</t>
        </is>
      </c>
      <c r="K240" s="33" t="inlineStr">
        <is>
          <t>Done</t>
        </is>
      </c>
      <c r="L240" s="24" t="inlineStr">
        <is>
          <t>Not assessed</t>
        </is>
      </c>
      <c r="M240" s="24" t="inlineStr">
        <is>
          <t>Not assessed</t>
        </is>
      </c>
      <c r="N240" s="24" t="inlineStr">
        <is>
          <t>Not assessed</t>
        </is>
      </c>
      <c r="O240" s="35" t="n"/>
      <c r="P240" s="24" t="inlineStr">
        <is>
          <t>Not scheduled</t>
        </is>
      </c>
      <c r="Q240" s="24" t="n"/>
      <c r="R240" s="24" t="inlineStr">
        <is>
          <t>Dashboard tiles, low stock, warranty list</t>
        </is>
      </c>
      <c r="S240" s="24" t="n"/>
      <c r="T240" s="24" t="n"/>
      <c r="U240" s="36" t="n">
        <v>46285</v>
      </c>
      <c r="V240" s="24" t="n"/>
      <c r="W240" s="15">
        <f>IF(P240="Production",IF(X240="Yes","Released","Review release"),IF(P240="Rolled back","Rolled back",IF(OR(Q240&lt;&gt;"",COUNTIFS(J240:N240,"Blocked")&gt;0),"Blocked",IF(OR(M240="Failed",N240="Rejected",AND(ISNUMBER(O240),O240&gt;0)),"Rework",IF(X240="Yes","Ready for release",IF(N240="Accepted","Verify completion",IF(OR(M240="Passed",M240="In progress",N240="In review"),"Testing / review",IF(OR(COUNTIFS(J240:L240,"In progress")&gt;0,COUNTIFS(J240:L240,"In review")&gt;0,COUNTIFS(J240:L240,"Done")&gt;0),"In progress",IF(COUNTIFS(J240:N240,"Not assessed")=5,"Not assessed","Planned")))))))))</f>
        <v/>
      </c>
      <c r="X240" s="15">
        <f>IF(AND(J240="Done",OR(K240="Done",K240="Not required"),OR(L240="Done",L240="Not required"),M240="Passed",N240="Accepted",ISNUMBER(O240),O240=0,Q240="",F240&lt;&gt;"",S240&lt;&gt;"",T240&lt;&gt;"",ISNUMBER(U240),OR(AND(K240&lt;&gt;"Not required",L240&lt;&gt;"Not required"),V240&lt;&gt;""),P240&lt;&gt;"Rolled back"),"Yes","No")</f>
        <v/>
      </c>
      <c r="Y240" s="15">
        <f>IF(X240="Yes","Completed",IF(H240="","No deadline",IF(NOT(ISNUMBER(H240)),"Check date",IF(H240&lt;Overview!$I$3,"Overdue",IF(H240&lt;=Overview!$I$3+7,"Due soon","On track")))))</f>
        <v/>
      </c>
      <c r="Z240" s="37">
        <f>IF(AND(X240&lt;&gt;"Yes",ISNUMBER(H240)),MAX(0,Overview!$I$3-H240),0)</f>
        <v/>
      </c>
      <c r="AA240" s="5" t="inlineStr">
        <is>
          <t>Store Manager</t>
        </is>
      </c>
      <c r="AB240" t="inlineStr">
        <is>
          <t>/school/inventory</t>
        </is>
      </c>
    </row>
    <row r="241" ht="35" customHeight="1">
      <c r="A241" s="2" t="inlineStr">
        <is>
          <t>SCR-235</t>
        </is>
      </c>
      <c r="B241" s="5" t="inlineStr">
        <is>
          <t>Item Catalogue</t>
        </is>
      </c>
      <c r="C241" s="5" t="inlineStr">
        <is>
          <t>Inventory / Assets / Labs</t>
        </is>
      </c>
      <c r="D241" s="2" t="inlineStr">
        <is>
          <t>Phase 2</t>
        </is>
      </c>
      <c r="E241" s="2" t="inlineStr">
        <is>
          <t>US-0469, US-0470</t>
        </is>
      </c>
      <c r="F241" s="24" t="n"/>
      <c r="G241" s="24" t="n"/>
      <c r="H241" s="32" t="n"/>
      <c r="I241" s="2" t="inlineStr">
        <is>
          <t>Ready</t>
        </is>
      </c>
      <c r="J241" s="33" t="inlineStr">
        <is>
          <t>Done</t>
        </is>
      </c>
      <c r="K241" s="33" t="inlineStr">
        <is>
          <t>Done</t>
        </is>
      </c>
      <c r="L241" s="24" t="inlineStr">
        <is>
          <t>Not assessed</t>
        </is>
      </c>
      <c r="M241" s="24" t="inlineStr">
        <is>
          <t>Not assessed</t>
        </is>
      </c>
      <c r="N241" s="24" t="inlineStr">
        <is>
          <t>Not assessed</t>
        </is>
      </c>
      <c r="O241" s="35" t="n"/>
      <c r="P241" s="24" t="inlineStr">
        <is>
          <t>Not scheduled</t>
        </is>
      </c>
      <c r="Q241" s="24" t="n"/>
      <c r="R241" s="24" t="inlineStr">
        <is>
          <t>Item list, search, SKU, reorder level</t>
        </is>
      </c>
      <c r="S241" s="24" t="n"/>
      <c r="T241" s="24" t="n"/>
      <c r="U241" s="36" t="n">
        <v>46285</v>
      </c>
      <c r="V241" s="24" t="n"/>
      <c r="W241" s="15">
        <f>IF(P241="Production",IF(X241="Yes","Released","Review release"),IF(P241="Rolled back","Rolled back",IF(OR(Q241&lt;&gt;"",COUNTIFS(J241:N241,"Blocked")&gt;0),"Blocked",IF(OR(M241="Failed",N241="Rejected",AND(ISNUMBER(O241),O241&gt;0)),"Rework",IF(X241="Yes","Ready for release",IF(N241="Accepted","Verify completion",IF(OR(M241="Passed",M241="In progress",N241="In review"),"Testing / review",IF(OR(COUNTIFS(J241:L241,"In progress")&gt;0,COUNTIFS(J241:L241,"In review")&gt;0,COUNTIFS(J241:L241,"Done")&gt;0),"In progress",IF(COUNTIFS(J241:N241,"Not assessed")=5,"Not assessed","Planned")))))))))</f>
        <v/>
      </c>
      <c r="X241" s="15">
        <f>IF(AND(J241="Done",OR(K241="Done",K241="Not required"),OR(L241="Done",L241="Not required"),M241="Passed",N241="Accepted",ISNUMBER(O241),O241=0,Q241="",F241&lt;&gt;"",S241&lt;&gt;"",T241&lt;&gt;"",ISNUMBER(U241),OR(AND(K241&lt;&gt;"Not required",L241&lt;&gt;"Not required"),V241&lt;&gt;""),P241&lt;&gt;"Rolled back"),"Yes","No")</f>
        <v/>
      </c>
      <c r="Y241" s="15">
        <f>IF(X241="Yes","Completed",IF(H241="","No deadline",IF(NOT(ISNUMBER(H241)),"Check date",IF(H241&lt;Overview!$I$3,"Overdue",IF(H241&lt;=Overview!$I$3+7,"Due soon","On track")))))</f>
        <v/>
      </c>
      <c r="Z241" s="37">
        <f>IF(AND(X241&lt;&gt;"Yes",ISNUMBER(H241)),MAX(0,Overview!$I$3-H241),0)</f>
        <v/>
      </c>
      <c r="AA241" s="5" t="inlineStr">
        <is>
          <t>Store Manager</t>
        </is>
      </c>
      <c r="AB241" t="inlineStr">
        <is>
          <t>/school/inventory</t>
        </is>
      </c>
    </row>
    <row r="242" ht="35" customHeight="1">
      <c r="A242" s="2" t="inlineStr">
        <is>
          <t>SCR-236</t>
        </is>
      </c>
      <c r="B242" s="5" t="inlineStr">
        <is>
          <t>Stock In / Purchase Receipt</t>
        </is>
      </c>
      <c r="C242" s="5" t="inlineStr">
        <is>
          <t>Inventory / Assets / Labs</t>
        </is>
      </c>
      <c r="D242" s="2" t="inlineStr">
        <is>
          <t>Phase 2</t>
        </is>
      </c>
      <c r="E242" s="2" t="inlineStr">
        <is>
          <t>US-0471, US-0472</t>
        </is>
      </c>
      <c r="F242" s="24" t="n"/>
      <c r="G242" s="24" t="n"/>
      <c r="H242" s="32" t="n"/>
      <c r="I242" s="2" t="inlineStr">
        <is>
          <t>Ready</t>
        </is>
      </c>
      <c r="J242" s="38" t="inlineStr">
        <is>
          <t>In progress</t>
        </is>
      </c>
      <c r="K242" s="38" t="inlineStr">
        <is>
          <t>In progress</t>
        </is>
      </c>
      <c r="L242" s="24" t="inlineStr">
        <is>
          <t>Not assessed</t>
        </is>
      </c>
      <c r="M242" s="24" t="inlineStr">
        <is>
          <t>Not assessed</t>
        </is>
      </c>
      <c r="N242" s="24" t="inlineStr">
        <is>
          <t>Not assessed</t>
        </is>
      </c>
      <c r="O242" s="35" t="n"/>
      <c r="P242" s="24" t="inlineStr">
        <is>
          <t>Not scheduled</t>
        </is>
      </c>
      <c r="Q242" s="24" t="n"/>
      <c r="R242" s="24" t="inlineStr">
        <is>
          <t>One item at a time; no multi-line receipt</t>
        </is>
      </c>
      <c r="S242" s="24" t="n"/>
      <c r="T242" s="24" t="n"/>
      <c r="U242" s="36" t="n">
        <v>46285</v>
      </c>
      <c r="V242" s="24" t="n"/>
      <c r="W242" s="15">
        <f>IF(P242="Production",IF(X242="Yes","Released","Review release"),IF(P242="Rolled back","Rolled back",IF(OR(Q242&lt;&gt;"",COUNTIFS(J242:N242,"Blocked")&gt;0),"Blocked",IF(OR(M242="Failed",N242="Rejected",AND(ISNUMBER(O242),O242&gt;0)),"Rework",IF(X242="Yes","Ready for release",IF(N242="Accepted","Verify completion",IF(OR(M242="Passed",M242="In progress",N242="In review"),"Testing / review",IF(OR(COUNTIFS(J242:L242,"In progress")&gt;0,COUNTIFS(J242:L242,"In review")&gt;0,COUNTIFS(J242:L242,"Done")&gt;0),"In progress",IF(COUNTIFS(J242:N242,"Not assessed")=5,"Not assessed","Planned")))))))))</f>
        <v/>
      </c>
      <c r="X242" s="15">
        <f>IF(AND(J242="Done",OR(K242="Done",K242="Not required"),OR(L242="Done",L242="Not required"),M242="Passed",N242="Accepted",ISNUMBER(O242),O242=0,Q242="",F242&lt;&gt;"",S242&lt;&gt;"",T242&lt;&gt;"",ISNUMBER(U242),OR(AND(K242&lt;&gt;"Not required",L242&lt;&gt;"Not required"),V242&lt;&gt;""),P242&lt;&gt;"Rolled back"),"Yes","No")</f>
        <v/>
      </c>
      <c r="Y242" s="15">
        <f>IF(X242="Yes","Completed",IF(H242="","No deadline",IF(NOT(ISNUMBER(H242)),"Check date",IF(H242&lt;Overview!$I$3,"Overdue",IF(H242&lt;=Overview!$I$3+7,"Due soon","On track")))))</f>
        <v/>
      </c>
      <c r="Z242" s="37">
        <f>IF(AND(X242&lt;&gt;"Yes",ISNUMBER(H242)),MAX(0,Overview!$I$3-H242),0)</f>
        <v/>
      </c>
      <c r="AA242" s="5" t="inlineStr">
        <is>
          <t>Store Manager</t>
        </is>
      </c>
      <c r="AB242" t="inlineStr">
        <is>
          <t>/school/inventory</t>
        </is>
      </c>
    </row>
    <row r="243" ht="35" customHeight="1">
      <c r="A243" s="2" t="inlineStr">
        <is>
          <t>SCR-237</t>
        </is>
      </c>
      <c r="B243" s="5" t="inlineStr">
        <is>
          <t>Stock Issue / Return</t>
        </is>
      </c>
      <c r="C243" s="5" t="inlineStr">
        <is>
          <t>Inventory / Assets / Labs</t>
        </is>
      </c>
      <c r="D243" s="2" t="inlineStr">
        <is>
          <t>Phase 2</t>
        </is>
      </c>
      <c r="E243" s="2" t="inlineStr">
        <is>
          <t>US-0473, US-0474</t>
        </is>
      </c>
      <c r="F243" s="24" t="n"/>
      <c r="G243" s="24" t="n"/>
      <c r="H243" s="32" t="n"/>
      <c r="I243" s="2" t="inlineStr">
        <is>
          <t>Ready</t>
        </is>
      </c>
      <c r="J243" s="38" t="inlineStr">
        <is>
          <t>In progress</t>
        </is>
      </c>
      <c r="K243" s="33" t="inlineStr">
        <is>
          <t>Done</t>
        </is>
      </c>
      <c r="L243" s="24" t="inlineStr">
        <is>
          <t>Not assessed</t>
        </is>
      </c>
      <c r="M243" s="24" t="inlineStr">
        <is>
          <t>Not assessed</t>
        </is>
      </c>
      <c r="N243" s="24" t="inlineStr">
        <is>
          <t>Not assessed</t>
        </is>
      </c>
      <c r="O243" s="35" t="n"/>
      <c r="P243" s="24" t="inlineStr">
        <is>
          <t>Not scheduled</t>
        </is>
      </c>
      <c r="Q243" s="24" t="n"/>
      <c r="R243" s="24" t="inlineStr">
        <is>
          <t>Free-text issued-to; no requisition register</t>
        </is>
      </c>
      <c r="S243" s="24" t="n"/>
      <c r="T243" s="24" t="n"/>
      <c r="U243" s="36" t="n">
        <v>46285</v>
      </c>
      <c r="V243" s="24" t="n"/>
      <c r="W243" s="15">
        <f>IF(P243="Production",IF(X243="Yes","Released","Review release"),IF(P243="Rolled back","Rolled back",IF(OR(Q243&lt;&gt;"",COUNTIFS(J243:N243,"Blocked")&gt;0),"Blocked",IF(OR(M243="Failed",N243="Rejected",AND(ISNUMBER(O243),O243&gt;0)),"Rework",IF(X243="Yes","Ready for release",IF(N243="Accepted","Verify completion",IF(OR(M243="Passed",M243="In progress",N243="In review"),"Testing / review",IF(OR(COUNTIFS(J243:L243,"In progress")&gt;0,COUNTIFS(J243:L243,"In review")&gt;0,COUNTIFS(J243:L243,"Done")&gt;0),"In progress",IF(COUNTIFS(J243:N243,"Not assessed")=5,"Not assessed","Planned")))))))))</f>
        <v/>
      </c>
      <c r="X243" s="15">
        <f>IF(AND(J243="Done",OR(K243="Done",K243="Not required"),OR(L243="Done",L243="Not required"),M243="Passed",N243="Accepted",ISNUMBER(O243),O243=0,Q243="",F243&lt;&gt;"",S243&lt;&gt;"",T243&lt;&gt;"",ISNUMBER(U243),OR(AND(K243&lt;&gt;"Not required",L243&lt;&gt;"Not required"),V243&lt;&gt;""),P243&lt;&gt;"Rolled back"),"Yes","No")</f>
        <v/>
      </c>
      <c r="Y243" s="15">
        <f>IF(X243="Yes","Completed",IF(H243="","No deadline",IF(NOT(ISNUMBER(H243)),"Check date",IF(H243&lt;Overview!$I$3,"Overdue",IF(H243&lt;=Overview!$I$3+7,"Due soon","On track")))))</f>
        <v/>
      </c>
      <c r="Z243" s="37">
        <f>IF(AND(X243&lt;&gt;"Yes",ISNUMBER(H243)),MAX(0,Overview!$I$3-H243),0)</f>
        <v/>
      </c>
      <c r="AA243" s="5" t="inlineStr">
        <is>
          <t>Store Manager</t>
        </is>
      </c>
      <c r="AB243" t="inlineStr">
        <is>
          <t>/school/inventory</t>
        </is>
      </c>
    </row>
    <row r="244" ht="35" customHeight="1">
      <c r="A244" s="2" t="inlineStr">
        <is>
          <t>SCR-238</t>
        </is>
      </c>
      <c r="B244" s="5" t="inlineStr">
        <is>
          <t>Supplier Management</t>
        </is>
      </c>
      <c r="C244" s="5" t="inlineStr">
        <is>
          <t>Inventory / Assets / Labs</t>
        </is>
      </c>
      <c r="D244" s="2" t="inlineStr">
        <is>
          <t>Phase 2</t>
        </is>
      </c>
      <c r="E244" s="2" t="inlineStr">
        <is>
          <t>US-0475, US-0476</t>
        </is>
      </c>
      <c r="F244" s="24" t="n"/>
      <c r="G244" s="24" t="n"/>
      <c r="H244" s="32" t="n"/>
      <c r="I244" s="2" t="inlineStr">
        <is>
          <t>Ready</t>
        </is>
      </c>
      <c r="J244" s="33" t="inlineStr">
        <is>
          <t>Done</t>
        </is>
      </c>
      <c r="K244" s="33" t="inlineStr">
        <is>
          <t>Done</t>
        </is>
      </c>
      <c r="L244" s="24" t="inlineStr">
        <is>
          <t>Not assessed</t>
        </is>
      </c>
      <c r="M244" s="24" t="inlineStr">
        <is>
          <t>Not assessed</t>
        </is>
      </c>
      <c r="N244" s="24" t="inlineStr">
        <is>
          <t>Not assessed</t>
        </is>
      </c>
      <c r="O244" s="35" t="n"/>
      <c r="P244" s="24" t="inlineStr">
        <is>
          <t>Not scheduled</t>
        </is>
      </c>
      <c r="Q244" s="24" t="n"/>
      <c r="R244" s="24" t="inlineStr">
        <is>
          <t>Supplier CRUD with contact and GSTIN</t>
        </is>
      </c>
      <c r="S244" s="24" t="n"/>
      <c r="T244" s="24" t="n"/>
      <c r="U244" s="36" t="n">
        <v>46285</v>
      </c>
      <c r="V244" s="24" t="n"/>
      <c r="W244" s="15">
        <f>IF(P244="Production",IF(X244="Yes","Released","Review release"),IF(P244="Rolled back","Rolled back",IF(OR(Q244&lt;&gt;"",COUNTIFS(J244:N244,"Blocked")&gt;0),"Blocked",IF(OR(M244="Failed",N244="Rejected",AND(ISNUMBER(O244),O244&gt;0)),"Rework",IF(X244="Yes","Ready for release",IF(N244="Accepted","Verify completion",IF(OR(M244="Passed",M244="In progress",N244="In review"),"Testing / review",IF(OR(COUNTIFS(J244:L244,"In progress")&gt;0,COUNTIFS(J244:L244,"In review")&gt;0,COUNTIFS(J244:L244,"Done")&gt;0),"In progress",IF(COUNTIFS(J244:N244,"Not assessed")=5,"Not assessed","Planned")))))))))</f>
        <v/>
      </c>
      <c r="X244" s="15">
        <f>IF(AND(J244="Done",OR(K244="Done",K244="Not required"),OR(L244="Done",L244="Not required"),M244="Passed",N244="Accepted",ISNUMBER(O244),O244=0,Q244="",F244&lt;&gt;"",S244&lt;&gt;"",T244&lt;&gt;"",ISNUMBER(U244),OR(AND(K244&lt;&gt;"Not required",L244&lt;&gt;"Not required"),V244&lt;&gt;""),P244&lt;&gt;"Rolled back"),"Yes","No")</f>
        <v/>
      </c>
      <c r="Y244" s="15">
        <f>IF(X244="Yes","Completed",IF(H244="","No deadline",IF(NOT(ISNUMBER(H244)),"Check date",IF(H244&lt;Overview!$I$3,"Overdue",IF(H244&lt;=Overview!$I$3+7,"Due soon","On track")))))</f>
        <v/>
      </c>
      <c r="Z244" s="37">
        <f>IF(AND(X244&lt;&gt;"Yes",ISNUMBER(H244)),MAX(0,Overview!$I$3-H244),0)</f>
        <v/>
      </c>
      <c r="AA244" s="5" t="inlineStr">
        <is>
          <t>Store Manager</t>
        </is>
      </c>
      <c r="AB244" t="inlineStr">
        <is>
          <t>/school/inventory</t>
        </is>
      </c>
    </row>
    <row r="245" ht="35" customHeight="1">
      <c r="A245" s="2" t="inlineStr">
        <is>
          <t>SCR-239</t>
        </is>
      </c>
      <c r="B245" s="5" t="inlineStr">
        <is>
          <t>Asset Register</t>
        </is>
      </c>
      <c r="C245" s="5" t="inlineStr">
        <is>
          <t>Inventory / Assets / Labs</t>
        </is>
      </c>
      <c r="D245" s="2" t="inlineStr">
        <is>
          <t>Phase 2</t>
        </is>
      </c>
      <c r="E245" s="2" t="inlineStr">
        <is>
          <t>US-0477, US-0478</t>
        </is>
      </c>
      <c r="F245" s="24" t="n"/>
      <c r="G245" s="24" t="n"/>
      <c r="H245" s="32" t="n"/>
      <c r="I245" s="2" t="inlineStr">
        <is>
          <t>Ready</t>
        </is>
      </c>
      <c r="J245" s="33" t="inlineStr">
        <is>
          <t>Done</t>
        </is>
      </c>
      <c r="K245" s="33" t="inlineStr">
        <is>
          <t>Done</t>
        </is>
      </c>
      <c r="L245" s="24" t="inlineStr">
        <is>
          <t>Not assessed</t>
        </is>
      </c>
      <c r="M245" s="24" t="inlineStr">
        <is>
          <t>Not assessed</t>
        </is>
      </c>
      <c r="N245" s="24" t="inlineStr">
        <is>
          <t>Not assessed</t>
        </is>
      </c>
      <c r="O245" s="35" t="n"/>
      <c r="P245" s="24" t="inlineStr">
        <is>
          <t>Not scheduled</t>
        </is>
      </c>
      <c r="Q245" s="24" t="n"/>
      <c r="R245" s="24" t="inlineStr">
        <is>
          <t>Tag, serial, status, cost, warranty, history</t>
        </is>
      </c>
      <c r="S245" s="24" t="n"/>
      <c r="T245" s="24" t="n"/>
      <c r="U245" s="36" t="n">
        <v>46285</v>
      </c>
      <c r="V245" s="24" t="n"/>
      <c r="W245" s="15">
        <f>IF(P245="Production",IF(X245="Yes","Released","Review release"),IF(P245="Rolled back","Rolled back",IF(OR(Q245&lt;&gt;"",COUNTIFS(J245:N245,"Blocked")&gt;0),"Blocked",IF(OR(M245="Failed",N245="Rejected",AND(ISNUMBER(O245),O245&gt;0)),"Rework",IF(X245="Yes","Ready for release",IF(N245="Accepted","Verify completion",IF(OR(M245="Passed",M245="In progress",N245="In review"),"Testing / review",IF(OR(COUNTIFS(J245:L245,"In progress")&gt;0,COUNTIFS(J245:L245,"In review")&gt;0,COUNTIFS(J245:L245,"Done")&gt;0),"In progress",IF(COUNTIFS(J245:N245,"Not assessed")=5,"Not assessed","Planned")))))))))</f>
        <v/>
      </c>
      <c r="X245" s="15">
        <f>IF(AND(J245="Done",OR(K245="Done",K245="Not required"),OR(L245="Done",L245="Not required"),M245="Passed",N245="Accepted",ISNUMBER(O245),O245=0,Q245="",F245&lt;&gt;"",S245&lt;&gt;"",T245&lt;&gt;"",ISNUMBER(U245),OR(AND(K245&lt;&gt;"Not required",L245&lt;&gt;"Not required"),V245&lt;&gt;""),P245&lt;&gt;"Rolled back"),"Yes","No")</f>
        <v/>
      </c>
      <c r="Y245" s="15">
        <f>IF(X245="Yes","Completed",IF(H245="","No deadline",IF(NOT(ISNUMBER(H245)),"Check date",IF(H245&lt;Overview!$I$3,"Overdue",IF(H245&lt;=Overview!$I$3+7,"Due soon","On track")))))</f>
        <v/>
      </c>
      <c r="Z245" s="37">
        <f>IF(AND(X245&lt;&gt;"Yes",ISNUMBER(H245)),MAX(0,Overview!$I$3-H245),0)</f>
        <v/>
      </c>
      <c r="AA245" s="5" t="inlineStr">
        <is>
          <t>Store Manager</t>
        </is>
      </c>
      <c r="AB245" t="inlineStr">
        <is>
          <t>/school/inventory</t>
        </is>
      </c>
    </row>
    <row r="246" ht="35" customHeight="1">
      <c r="A246" s="2" t="inlineStr">
        <is>
          <t>SCR-240</t>
        </is>
      </c>
      <c r="B246" s="5" t="inlineStr">
        <is>
          <t>Asset Assignment / Transfer</t>
        </is>
      </c>
      <c r="C246" s="5" t="inlineStr">
        <is>
          <t>Inventory / Assets / Labs</t>
        </is>
      </c>
      <c r="D246" s="2" t="inlineStr">
        <is>
          <t>Phase 3</t>
        </is>
      </c>
      <c r="E246" s="2" t="inlineStr">
        <is>
          <t>US-0479, US-0480</t>
        </is>
      </c>
      <c r="F246" s="24" t="n"/>
      <c r="G246" s="24" t="n"/>
      <c r="H246" s="32" t="n"/>
      <c r="I246" s="2" t="inlineStr">
        <is>
          <t>Ready</t>
        </is>
      </c>
      <c r="J246" s="33" t="inlineStr">
        <is>
          <t>Done</t>
        </is>
      </c>
      <c r="K246" s="33" t="inlineStr">
        <is>
          <t>Done</t>
        </is>
      </c>
      <c r="L246" s="24" t="inlineStr">
        <is>
          <t>Not assessed</t>
        </is>
      </c>
      <c r="M246" s="24" t="inlineStr">
        <is>
          <t>Not assessed</t>
        </is>
      </c>
      <c r="N246" s="24" t="inlineStr">
        <is>
          <t>Not assessed</t>
        </is>
      </c>
      <c r="O246" s="35" t="n"/>
      <c r="P246" s="24" t="inlineStr">
        <is>
          <t>Not scheduled</t>
        </is>
      </c>
      <c r="Q246" s="24" t="n"/>
      <c r="R246" s="24" t="inlineStr">
        <is>
          <t>Assignments tab: what is out and with whom</t>
        </is>
      </c>
      <c r="S246" s="24" t="n"/>
      <c r="T246" s="24" t="n"/>
      <c r="U246" s="36" t="n">
        <v>46285</v>
      </c>
      <c r="V246" s="24" t="n"/>
      <c r="W246" s="15">
        <f>IF(P246="Production",IF(X246="Yes","Released","Review release"),IF(P246="Rolled back","Rolled back",IF(OR(Q246&lt;&gt;"",COUNTIFS(J246:N246,"Blocked")&gt;0),"Blocked",IF(OR(M246="Failed",N246="Rejected",AND(ISNUMBER(O246),O246&gt;0)),"Rework",IF(X246="Yes","Ready for release",IF(N246="Accepted","Verify completion",IF(OR(M246="Passed",M246="In progress",N246="In review"),"Testing / review",IF(OR(COUNTIFS(J246:L246,"In progress")&gt;0,COUNTIFS(J246:L246,"In review")&gt;0,COUNTIFS(J246:L246,"Done")&gt;0),"In progress",IF(COUNTIFS(J246:N246,"Not assessed")=5,"Not assessed","Planned")))))))))</f>
        <v/>
      </c>
      <c r="X246" s="15">
        <f>IF(AND(J246="Done",OR(K246="Done",K246="Not required"),OR(L246="Done",L246="Not required"),M246="Passed",N246="Accepted",ISNUMBER(O246),O246=0,Q246="",F246&lt;&gt;"",S246&lt;&gt;"",T246&lt;&gt;"",ISNUMBER(U246),OR(AND(K246&lt;&gt;"Not required",L246&lt;&gt;"Not required"),V246&lt;&gt;""),P246&lt;&gt;"Rolled back"),"Yes","No")</f>
        <v/>
      </c>
      <c r="Y246" s="15">
        <f>IF(X246="Yes","Completed",IF(H246="","No deadline",IF(NOT(ISNUMBER(H246)),"Check date",IF(H246&lt;Overview!$I$3,"Overdue",IF(H246&lt;=Overview!$I$3+7,"Due soon","On track")))))</f>
        <v/>
      </c>
      <c r="Z246" s="37">
        <f>IF(AND(X246&lt;&gt;"Yes",ISNUMBER(H246)),MAX(0,Overview!$I$3-H246),0)</f>
        <v/>
      </c>
      <c r="AA246" s="5" t="inlineStr">
        <is>
          <t>Store Manager</t>
        </is>
      </c>
      <c r="AB246" t="inlineStr">
        <is>
          <t>/school/inventory</t>
        </is>
      </c>
    </row>
    <row r="247" ht="35" customHeight="1">
      <c r="A247" s="2" t="inlineStr">
        <is>
          <t>SCR-241</t>
        </is>
      </c>
      <c r="B247" s="5" t="inlineStr">
        <is>
          <t>Asset Maintenance</t>
        </is>
      </c>
      <c r="C247" s="5" t="inlineStr">
        <is>
          <t>Inventory / Assets / Labs</t>
        </is>
      </c>
      <c r="D247" s="2" t="inlineStr">
        <is>
          <t>Phase 3</t>
        </is>
      </c>
      <c r="E247" s="2" t="inlineStr">
        <is>
          <t>US-0481, US-0482</t>
        </is>
      </c>
      <c r="F247" s="24" t="n"/>
      <c r="G247" s="24" t="n"/>
      <c r="H247" s="32" t="n"/>
      <c r="I247" s="2" t="inlineStr">
        <is>
          <t>Ready</t>
        </is>
      </c>
      <c r="J247" s="38" t="inlineStr">
        <is>
          <t>In progress</t>
        </is>
      </c>
      <c r="K247" s="38" t="inlineStr">
        <is>
          <t>In progress</t>
        </is>
      </c>
      <c r="L247" s="24" t="inlineStr">
        <is>
          <t>Not assessed</t>
        </is>
      </c>
      <c r="M247" s="24" t="inlineStr">
        <is>
          <t>Not assessed</t>
        </is>
      </c>
      <c r="N247" s="24" t="inlineStr">
        <is>
          <t>Not assessed</t>
        </is>
      </c>
      <c r="O247" s="35" t="n"/>
      <c r="P247" s="24" t="inlineStr">
        <is>
          <t>Not scheduled</t>
        </is>
      </c>
      <c r="Q247" s="24" t="n"/>
      <c r="R247" s="24" t="inlineStr">
        <is>
          <t>Logs repairs; no schedule or AMC tracking</t>
        </is>
      </c>
      <c r="S247" s="24" t="n"/>
      <c r="T247" s="24" t="n"/>
      <c r="U247" s="36" t="n">
        <v>46285</v>
      </c>
      <c r="V247" s="24" t="n"/>
      <c r="W247" s="15">
        <f>IF(P247="Production",IF(X247="Yes","Released","Review release"),IF(P247="Rolled back","Rolled back",IF(OR(Q247&lt;&gt;"",COUNTIFS(J247:N247,"Blocked")&gt;0),"Blocked",IF(OR(M247="Failed",N247="Rejected",AND(ISNUMBER(O247),O247&gt;0)),"Rework",IF(X247="Yes","Ready for release",IF(N247="Accepted","Verify completion",IF(OR(M247="Passed",M247="In progress",N247="In review"),"Testing / review",IF(OR(COUNTIFS(J247:L247,"In progress")&gt;0,COUNTIFS(J247:L247,"In review")&gt;0,COUNTIFS(J247:L247,"Done")&gt;0),"In progress",IF(COUNTIFS(J247:N247,"Not assessed")=5,"Not assessed","Planned")))))))))</f>
        <v/>
      </c>
      <c r="X247" s="15">
        <f>IF(AND(J247="Done",OR(K247="Done",K247="Not required"),OR(L247="Done",L247="Not required"),M247="Passed",N247="Accepted",ISNUMBER(O247),O247=0,Q247="",F247&lt;&gt;"",S247&lt;&gt;"",T247&lt;&gt;"",ISNUMBER(U247),OR(AND(K247&lt;&gt;"Not required",L247&lt;&gt;"Not required"),V247&lt;&gt;""),P247&lt;&gt;"Rolled back"),"Yes","No")</f>
        <v/>
      </c>
      <c r="Y247" s="15">
        <f>IF(X247="Yes","Completed",IF(H247="","No deadline",IF(NOT(ISNUMBER(H247)),"Check date",IF(H247&lt;Overview!$I$3,"Overdue",IF(H247&lt;=Overview!$I$3+7,"Due soon","On track")))))</f>
        <v/>
      </c>
      <c r="Z247" s="37">
        <f>IF(AND(X247&lt;&gt;"Yes",ISNUMBER(H247)),MAX(0,Overview!$I$3-H247),0)</f>
        <v/>
      </c>
      <c r="AA247" s="5" t="inlineStr">
        <is>
          <t>Store Manager</t>
        </is>
      </c>
      <c r="AB247" t="inlineStr">
        <is>
          <t>/school/inventory</t>
        </is>
      </c>
    </row>
    <row r="248" ht="35" customHeight="1">
      <c r="A248" s="2" t="inlineStr">
        <is>
          <t>SCR-242</t>
        </is>
      </c>
      <c r="B248" s="5" t="inlineStr">
        <is>
          <t>Lab Register</t>
        </is>
      </c>
      <c r="C248" s="5" t="inlineStr">
        <is>
          <t>Inventory / Assets / Labs</t>
        </is>
      </c>
      <c r="D248" s="2" t="inlineStr">
        <is>
          <t>Phase 3</t>
        </is>
      </c>
      <c r="E248" s="2" t="inlineStr">
        <is>
          <t>US-0483, US-0484</t>
        </is>
      </c>
      <c r="F248" s="24" t="n"/>
      <c r="G248" s="24" t="n"/>
      <c r="H248" s="32" t="n"/>
      <c r="I248" s="2" t="inlineStr">
        <is>
          <t>Ready</t>
        </is>
      </c>
      <c r="J248" s="33" t="inlineStr">
        <is>
          <t>Done</t>
        </is>
      </c>
      <c r="K248" s="33" t="inlineStr">
        <is>
          <t>Done</t>
        </is>
      </c>
      <c r="L248" s="24" t="inlineStr">
        <is>
          <t>Not assessed</t>
        </is>
      </c>
      <c r="M248" s="24" t="inlineStr">
        <is>
          <t>Not assessed</t>
        </is>
      </c>
      <c r="N248" s="24" t="inlineStr">
        <is>
          <t>Not assessed</t>
        </is>
      </c>
      <c r="O248" s="35" t="n"/>
      <c r="P248" s="24" t="inlineStr">
        <is>
          <t>Not scheduled</t>
        </is>
      </c>
      <c r="Q248" s="24" t="n"/>
      <c r="R248" s="24" t="inlineStr">
        <is>
          <t>Lab CRUD with room, subject, in-charge</t>
        </is>
      </c>
      <c r="S248" s="24" t="n"/>
      <c r="T248" s="24" t="n"/>
      <c r="U248" s="36" t="n">
        <v>46285</v>
      </c>
      <c r="V248" s="24" t="n"/>
      <c r="W248" s="15">
        <f>IF(P248="Production",IF(X248="Yes","Released","Review release"),IF(P248="Rolled back","Rolled back",IF(OR(Q248&lt;&gt;"",COUNTIFS(J248:N248,"Blocked")&gt;0),"Blocked",IF(OR(M248="Failed",N248="Rejected",AND(ISNUMBER(O248),O248&gt;0)),"Rework",IF(X248="Yes","Ready for release",IF(N248="Accepted","Verify completion",IF(OR(M248="Passed",M248="In progress",N248="In review"),"Testing / review",IF(OR(COUNTIFS(J248:L248,"In progress")&gt;0,COUNTIFS(J248:L248,"In review")&gt;0,COUNTIFS(J248:L248,"Done")&gt;0),"In progress",IF(COUNTIFS(J248:N248,"Not assessed")=5,"Not assessed","Planned")))))))))</f>
        <v/>
      </c>
      <c r="X248" s="15">
        <f>IF(AND(J248="Done",OR(K248="Done",K248="Not required"),OR(L248="Done",L248="Not required"),M248="Passed",N248="Accepted",ISNUMBER(O248),O248=0,Q248="",F248&lt;&gt;"",S248&lt;&gt;"",T248&lt;&gt;"",ISNUMBER(U248),OR(AND(K248&lt;&gt;"Not required",L248&lt;&gt;"Not required"),V248&lt;&gt;""),P248&lt;&gt;"Rolled back"),"Yes","No")</f>
        <v/>
      </c>
      <c r="Y248" s="15">
        <f>IF(X248="Yes","Completed",IF(H248="","No deadline",IF(NOT(ISNUMBER(H248)),"Check date",IF(H248&lt;Overview!$I$3,"Overdue",IF(H248&lt;=Overview!$I$3+7,"Due soon","On track")))))</f>
        <v/>
      </c>
      <c r="Z248" s="37">
        <f>IF(AND(X248&lt;&gt;"Yes",ISNUMBER(H248)),MAX(0,Overview!$I$3-H248),0)</f>
        <v/>
      </c>
      <c r="AA248" s="5" t="inlineStr">
        <is>
          <t>Store Manager</t>
        </is>
      </c>
      <c r="AB248" t="inlineStr">
        <is>
          <t>/school/facilities</t>
        </is>
      </c>
    </row>
    <row r="249" ht="35" customHeight="1">
      <c r="A249" s="2" t="inlineStr">
        <is>
          <t>SCR-243</t>
        </is>
      </c>
      <c r="B249" s="5" t="inlineStr">
        <is>
          <t>Lab Equipment &amp; Consumables</t>
        </is>
      </c>
      <c r="C249" s="5" t="inlineStr">
        <is>
          <t>Inventory / Assets / Labs</t>
        </is>
      </c>
      <c r="D249" s="2" t="inlineStr">
        <is>
          <t>Phase 3</t>
        </is>
      </c>
      <c r="E249" s="2" t="inlineStr">
        <is>
          <t>US-0485, US-0486</t>
        </is>
      </c>
      <c r="F249" s="24" t="n"/>
      <c r="G249" s="24" t="n"/>
      <c r="H249" s="32" t="n"/>
      <c r="I249" s="2" t="inlineStr">
        <is>
          <t>Ready</t>
        </is>
      </c>
      <c r="J249" s="38" t="inlineStr">
        <is>
          <t>In progress</t>
        </is>
      </c>
      <c r="K249" s="39" t="inlineStr">
        <is>
          <t>Not started</t>
        </is>
      </c>
      <c r="L249" s="24" t="inlineStr">
        <is>
          <t>Not assessed</t>
        </is>
      </c>
      <c r="M249" s="24" t="inlineStr">
        <is>
          <t>Not assessed</t>
        </is>
      </c>
      <c r="N249" s="24" t="inlineStr">
        <is>
          <t>Not assessed</t>
        </is>
      </c>
      <c r="O249" s="35" t="n"/>
      <c r="P249" s="24" t="inlineStr">
        <is>
          <t>Not scheduled</t>
        </is>
      </c>
      <c r="Q249" s="24" t="n"/>
      <c r="R249" s="24" t="inlineStr">
        <is>
          <t>Equipment is free text; no items or stock</t>
        </is>
      </c>
      <c r="S249" s="24" t="n"/>
      <c r="T249" s="24" t="n"/>
      <c r="U249" s="36" t="n">
        <v>46285</v>
      </c>
      <c r="V249" s="24" t="n"/>
      <c r="W249" s="15">
        <f>IF(P249="Production",IF(X249="Yes","Released","Review release"),IF(P249="Rolled back","Rolled back",IF(OR(Q249&lt;&gt;"",COUNTIFS(J249:N249,"Blocked")&gt;0),"Blocked",IF(OR(M249="Failed",N249="Rejected",AND(ISNUMBER(O249),O249&gt;0)),"Rework",IF(X249="Yes","Ready for release",IF(N249="Accepted","Verify completion",IF(OR(M249="Passed",M249="In progress",N249="In review"),"Testing / review",IF(OR(COUNTIFS(J249:L249,"In progress")&gt;0,COUNTIFS(J249:L249,"In review")&gt;0,COUNTIFS(J249:L249,"Done")&gt;0),"In progress",IF(COUNTIFS(J249:N249,"Not assessed")=5,"Not assessed","Planned")))))))))</f>
        <v/>
      </c>
      <c r="X249" s="15">
        <f>IF(AND(J249="Done",OR(K249="Done",K249="Not required"),OR(L249="Done",L249="Not required"),M249="Passed",N249="Accepted",ISNUMBER(O249),O249=0,Q249="",F249&lt;&gt;"",S249&lt;&gt;"",T249&lt;&gt;"",ISNUMBER(U249),OR(AND(K249&lt;&gt;"Not required",L249&lt;&gt;"Not required"),V249&lt;&gt;""),P249&lt;&gt;"Rolled back"),"Yes","No")</f>
        <v/>
      </c>
      <c r="Y249" s="15">
        <f>IF(X249="Yes","Completed",IF(H249="","No deadline",IF(NOT(ISNUMBER(H249)),"Check date",IF(H249&lt;Overview!$I$3,"Overdue",IF(H249&lt;=Overview!$I$3+7,"Due soon","On track")))))</f>
        <v/>
      </c>
      <c r="Z249" s="37">
        <f>IF(AND(X249&lt;&gt;"Yes",ISNUMBER(H249)),MAX(0,Overview!$I$3-H249),0)</f>
        <v/>
      </c>
      <c r="AA249" s="5" t="inlineStr">
        <is>
          <t>Store Manager</t>
        </is>
      </c>
      <c r="AB249" t="inlineStr">
        <is>
          <t>/school/facilities</t>
        </is>
      </c>
    </row>
    <row r="250" ht="35" customHeight="1">
      <c r="A250" s="2" t="inlineStr">
        <is>
          <t>SCR-244</t>
        </is>
      </c>
      <c r="B250" s="5" t="inlineStr">
        <is>
          <t>Practical / Lab Booking</t>
        </is>
      </c>
      <c r="C250" s="5" t="inlineStr">
        <is>
          <t>Inventory / Assets / Labs</t>
        </is>
      </c>
      <c r="D250" s="2" t="inlineStr">
        <is>
          <t>Phase 3</t>
        </is>
      </c>
      <c r="E250" s="2" t="inlineStr">
        <is>
          <t>US-0487, US-0488</t>
        </is>
      </c>
      <c r="F250" s="24" t="n"/>
      <c r="G250" s="24" t="n"/>
      <c r="H250" s="32" t="n"/>
      <c r="I250" s="2" t="inlineStr">
        <is>
          <t>Ready</t>
        </is>
      </c>
      <c r="J250" s="33" t="inlineStr">
        <is>
          <t>Done</t>
        </is>
      </c>
      <c r="K250" s="33" t="inlineStr">
        <is>
          <t>Done</t>
        </is>
      </c>
      <c r="L250" s="24" t="inlineStr">
        <is>
          <t>Not assessed</t>
        </is>
      </c>
      <c r="M250" s="24" t="inlineStr">
        <is>
          <t>Not assessed</t>
        </is>
      </c>
      <c r="N250" s="24" t="inlineStr">
        <is>
          <t>Not assessed</t>
        </is>
      </c>
      <c r="O250" s="35" t="n"/>
      <c r="P250" s="24" t="inlineStr">
        <is>
          <t>Not scheduled</t>
        </is>
      </c>
      <c r="Q250" s="24" t="n"/>
      <c r="R250" s="24" t="inlineStr">
        <is>
          <t>Period grid, book, cancel, my bookings</t>
        </is>
      </c>
      <c r="S250" s="24" t="n"/>
      <c r="T250" s="24" t="n"/>
      <c r="U250" s="36" t="n">
        <v>46285</v>
      </c>
      <c r="V250" s="24" t="n"/>
      <c r="W250" s="15">
        <f>IF(P250="Production",IF(X250="Yes","Released","Review release"),IF(P250="Rolled back","Rolled back",IF(OR(Q250&lt;&gt;"",COUNTIFS(J250:N250,"Blocked")&gt;0),"Blocked",IF(OR(M250="Failed",N250="Rejected",AND(ISNUMBER(O250),O250&gt;0)),"Rework",IF(X250="Yes","Ready for release",IF(N250="Accepted","Verify completion",IF(OR(M250="Passed",M250="In progress",N250="In review"),"Testing / review",IF(OR(COUNTIFS(J250:L250,"In progress")&gt;0,COUNTIFS(J250:L250,"In review")&gt;0,COUNTIFS(J250:L250,"Done")&gt;0),"In progress",IF(COUNTIFS(J250:N250,"Not assessed")=5,"Not assessed","Planned")))))))))</f>
        <v/>
      </c>
      <c r="X250" s="15">
        <f>IF(AND(J250="Done",OR(K250="Done",K250="Not required"),OR(L250="Done",L250="Not required"),M250="Passed",N250="Accepted",ISNUMBER(O250),O250=0,Q250="",F250&lt;&gt;"",S250&lt;&gt;"",T250&lt;&gt;"",ISNUMBER(U250),OR(AND(K250&lt;&gt;"Not required",L250&lt;&gt;"Not required"),V250&lt;&gt;""),P250&lt;&gt;"Rolled back"),"Yes","No")</f>
        <v/>
      </c>
      <c r="Y250" s="15">
        <f>IF(X250="Yes","Completed",IF(H250="","No deadline",IF(NOT(ISNUMBER(H250)),"Check date",IF(H250&lt;Overview!$I$3,"Overdue",IF(H250&lt;=Overview!$I$3+7,"Due soon","On track")))))</f>
        <v/>
      </c>
      <c r="Z250" s="37">
        <f>IF(AND(X250&lt;&gt;"Yes",ISNUMBER(H250)),MAX(0,Overview!$I$3-H250),0)</f>
        <v/>
      </c>
      <c r="AA250" s="5" t="inlineStr">
        <is>
          <t>Store Manager</t>
        </is>
      </c>
      <c r="AB250" t="inlineStr">
        <is>
          <t>/school/facilities</t>
        </is>
      </c>
    </row>
    <row r="251" ht="35" customHeight="1">
      <c r="A251" s="2" t="inlineStr">
        <is>
          <t>SCR-245</t>
        </is>
      </c>
      <c r="B251" s="5" t="inlineStr">
        <is>
          <t>Stock &amp; Asset Reports</t>
        </is>
      </c>
      <c r="C251" s="5" t="inlineStr">
        <is>
          <t>Inventory / Assets / Labs</t>
        </is>
      </c>
      <c r="D251" s="2" t="inlineStr">
        <is>
          <t>Phase 3</t>
        </is>
      </c>
      <c r="E251" s="2" t="inlineStr">
        <is>
          <t>US-0489, US-0490</t>
        </is>
      </c>
      <c r="F251" s="24" t="n"/>
      <c r="G251" s="24" t="n"/>
      <c r="H251" s="32" t="n"/>
      <c r="I251" s="2" t="inlineStr">
        <is>
          <t>Ready</t>
        </is>
      </c>
      <c r="J251" s="38" t="inlineStr">
        <is>
          <t>In progress</t>
        </is>
      </c>
      <c r="K251" s="38" t="inlineStr">
        <is>
          <t>In progress</t>
        </is>
      </c>
      <c r="L251" s="24" t="inlineStr">
        <is>
          <t>Not assessed</t>
        </is>
      </c>
      <c r="M251" s="24" t="inlineStr">
        <is>
          <t>Not assessed</t>
        </is>
      </c>
      <c r="N251" s="24" t="inlineStr">
        <is>
          <t>Not assessed</t>
        </is>
      </c>
      <c r="O251" s="35" t="n"/>
      <c r="P251" s="24" t="inlineStr">
        <is>
          <t>Not scheduled</t>
        </is>
      </c>
      <c r="Q251" s="24" t="n"/>
      <c r="R251" s="24" t="inlineStr">
        <is>
          <t>Tiles and ledger; no date-range report</t>
        </is>
      </c>
      <c r="S251" s="24" t="n"/>
      <c r="T251" s="24" t="n"/>
      <c r="U251" s="36" t="n">
        <v>46285</v>
      </c>
      <c r="V251" s="24" t="n"/>
      <c r="W251" s="15">
        <f>IF(P251="Production",IF(X251="Yes","Released","Review release"),IF(P251="Rolled back","Rolled back",IF(OR(Q251&lt;&gt;"",COUNTIFS(J251:N251,"Blocked")&gt;0),"Blocked",IF(OR(M251="Failed",N251="Rejected",AND(ISNUMBER(O251),O251&gt;0)),"Rework",IF(X251="Yes","Ready for release",IF(N251="Accepted","Verify completion",IF(OR(M251="Passed",M251="In progress",N251="In review"),"Testing / review",IF(OR(COUNTIFS(J251:L251,"In progress")&gt;0,COUNTIFS(J251:L251,"In review")&gt;0,COUNTIFS(J251:L251,"Done")&gt;0),"In progress",IF(COUNTIFS(J251:N251,"Not assessed")=5,"Not assessed","Planned")))))))))</f>
        <v/>
      </c>
      <c r="X251" s="15">
        <f>IF(AND(J251="Done",OR(K251="Done",K251="Not required"),OR(L251="Done",L251="Not required"),M251="Passed",N251="Accepted",ISNUMBER(O251),O251=0,Q251="",F251&lt;&gt;"",S251&lt;&gt;"",T251&lt;&gt;"",ISNUMBER(U251),OR(AND(K251&lt;&gt;"Not required",L251&lt;&gt;"Not required"),V251&lt;&gt;""),P251&lt;&gt;"Rolled back"),"Yes","No")</f>
        <v/>
      </c>
      <c r="Y251" s="15">
        <f>IF(X251="Yes","Completed",IF(H251="","No deadline",IF(NOT(ISNUMBER(H251)),"Check date",IF(H251&lt;Overview!$I$3,"Overdue",IF(H251&lt;=Overview!$I$3+7,"Due soon","On track")))))</f>
        <v/>
      </c>
      <c r="Z251" s="37">
        <f>IF(AND(X251&lt;&gt;"Yes",ISNUMBER(H251)),MAX(0,Overview!$I$3-H251),0)</f>
        <v/>
      </c>
      <c r="AA251" s="5" t="inlineStr">
        <is>
          <t>Store Manager</t>
        </is>
      </c>
      <c r="AB251" t="inlineStr">
        <is>
          <t>/school/inventory</t>
        </is>
      </c>
    </row>
    <row r="252" ht="35" customHeight="1">
      <c r="A252" s="2" t="inlineStr">
        <is>
          <t>SCR-246</t>
        </is>
      </c>
      <c r="B252" s="5" t="inlineStr">
        <is>
          <t>Events Calendar</t>
        </is>
      </c>
      <c r="C252" s="5" t="inlineStr">
        <is>
          <t>Events / PTM / Communication</t>
        </is>
      </c>
      <c r="D252" s="2" t="inlineStr">
        <is>
          <t>MVP</t>
        </is>
      </c>
      <c r="E252" s="2" t="inlineStr">
        <is>
          <t>US-0491, US-0492</t>
        </is>
      </c>
      <c r="F252" s="24" t="n"/>
      <c r="G252" s="24" t="n"/>
      <c r="H252" s="32" t="n"/>
      <c r="I252" s="2" t="inlineStr">
        <is>
          <t>Ready</t>
        </is>
      </c>
      <c r="J252" s="33" t="inlineStr">
        <is>
          <t>Done</t>
        </is>
      </c>
      <c r="K252" s="33" t="inlineStr">
        <is>
          <t>Done</t>
        </is>
      </c>
      <c r="L252" s="24" t="inlineStr">
        <is>
          <t>Not assessed</t>
        </is>
      </c>
      <c r="M252" s="24" t="inlineStr">
        <is>
          <t>Not assessed</t>
        </is>
      </c>
      <c r="N252" s="24" t="inlineStr">
        <is>
          <t>Not assessed</t>
        </is>
      </c>
      <c r="O252" s="35" t="n"/>
      <c r="P252" s="24" t="inlineStr">
        <is>
          <t>Not scheduled</t>
        </is>
      </c>
      <c r="Q252" s="24" t="n"/>
      <c r="R252" s="24" t="inlineStr">
        <is>
          <t>Month grid and agenda across sources</t>
        </is>
      </c>
      <c r="S252" s="24" t="n"/>
      <c r="T252" s="24" t="n"/>
      <c r="U252" s="36" t="n">
        <v>46285</v>
      </c>
      <c r="V252" s="24" t="n"/>
      <c r="W252" s="15">
        <f>IF(P252="Production",IF(X252="Yes","Released","Review release"),IF(P252="Rolled back","Rolled back",IF(OR(Q252&lt;&gt;"",COUNTIFS(J252:N252,"Blocked")&gt;0),"Blocked",IF(OR(M252="Failed",N252="Rejected",AND(ISNUMBER(O252),O252&gt;0)),"Rework",IF(X252="Yes","Ready for release",IF(N252="Accepted","Verify completion",IF(OR(M252="Passed",M252="In progress",N252="In review"),"Testing / review",IF(OR(COUNTIFS(J252:L252,"In progress")&gt;0,COUNTIFS(J252:L252,"In review")&gt;0,COUNTIFS(J252:L252,"Done")&gt;0),"In progress",IF(COUNTIFS(J252:N252,"Not assessed")=5,"Not assessed","Planned")))))))))</f>
        <v/>
      </c>
      <c r="X252" s="15">
        <f>IF(AND(J252="Done",OR(K252="Done",K252="Not required"),OR(L252="Done",L252="Not required"),M252="Passed",N252="Accepted",ISNUMBER(O252),O252=0,Q252="",F252&lt;&gt;"",S252&lt;&gt;"",T252&lt;&gt;"",ISNUMBER(U252),OR(AND(K252&lt;&gt;"Not required",L252&lt;&gt;"Not required"),V252&lt;&gt;""),P252&lt;&gt;"Rolled back"),"Yes","No")</f>
        <v/>
      </c>
      <c r="Y252" s="15">
        <f>IF(X252="Yes","Completed",IF(H252="","No deadline",IF(NOT(ISNUMBER(H252)),"Check date",IF(H252&lt;Overview!$I$3,"Overdue",IF(H252&lt;=Overview!$I$3+7,"Due soon","On track")))))</f>
        <v/>
      </c>
      <c r="Z252" s="37">
        <f>IF(AND(X252&lt;&gt;"Yes",ISNUMBER(H252)),MAX(0,Overview!$I$3-H252),0)</f>
        <v/>
      </c>
      <c r="AA252" s="5" t="inlineStr">
        <is>
          <t>School Admin</t>
        </is>
      </c>
      <c r="AB252" t="inlineStr">
        <is>
          <t>/school/calendar</t>
        </is>
      </c>
    </row>
    <row r="253" ht="35" customHeight="1">
      <c r="A253" s="2" t="inlineStr">
        <is>
          <t>SCR-247</t>
        </is>
      </c>
      <c r="B253" s="5" t="inlineStr">
        <is>
          <t>Create / Edit Event</t>
        </is>
      </c>
      <c r="C253" s="5" t="inlineStr">
        <is>
          <t>Events / PTM / Communication</t>
        </is>
      </c>
      <c r="D253" s="2" t="inlineStr">
        <is>
          <t>MVP</t>
        </is>
      </c>
      <c r="E253" s="2" t="inlineStr">
        <is>
          <t>US-0493, US-0494</t>
        </is>
      </c>
      <c r="F253" s="24" t="n"/>
      <c r="G253" s="24" t="n"/>
      <c r="H253" s="32" t="n"/>
      <c r="I253" s="2" t="inlineStr">
        <is>
          <t>Ready</t>
        </is>
      </c>
      <c r="J253" s="33" t="inlineStr">
        <is>
          <t>Done</t>
        </is>
      </c>
      <c r="K253" s="33" t="inlineStr">
        <is>
          <t>Done</t>
        </is>
      </c>
      <c r="L253" s="24" t="inlineStr">
        <is>
          <t>Not assessed</t>
        </is>
      </c>
      <c r="M253" s="24" t="inlineStr">
        <is>
          <t>Not assessed</t>
        </is>
      </c>
      <c r="N253" s="24" t="inlineStr">
        <is>
          <t>Not assessed</t>
        </is>
      </c>
      <c r="O253" s="35" t="n"/>
      <c r="P253" s="24" t="inlineStr">
        <is>
          <t>Not scheduled</t>
        </is>
      </c>
      <c r="Q253" s="24" t="n"/>
      <c r="R253" s="24" t="inlineStr">
        <is>
          <t>Kind, dates, venue, audience, consent</t>
        </is>
      </c>
      <c r="S253" s="24" t="n"/>
      <c r="T253" s="24" t="n"/>
      <c r="U253" s="36" t="n">
        <v>46285</v>
      </c>
      <c r="V253" s="24" t="n"/>
      <c r="W253" s="15">
        <f>IF(P253="Production",IF(X253="Yes","Released","Review release"),IF(P253="Rolled back","Rolled back",IF(OR(Q253&lt;&gt;"",COUNTIFS(J253:N253,"Blocked")&gt;0),"Blocked",IF(OR(M253="Failed",N253="Rejected",AND(ISNUMBER(O253),O253&gt;0)),"Rework",IF(X253="Yes","Ready for release",IF(N253="Accepted","Verify completion",IF(OR(M253="Passed",M253="In progress",N253="In review"),"Testing / review",IF(OR(COUNTIFS(J253:L253,"In progress")&gt;0,COUNTIFS(J253:L253,"In review")&gt;0,COUNTIFS(J253:L253,"Done")&gt;0),"In progress",IF(COUNTIFS(J253:N253,"Not assessed")=5,"Not assessed","Planned")))))))))</f>
        <v/>
      </c>
      <c r="X253" s="15">
        <f>IF(AND(J253="Done",OR(K253="Done",K253="Not required"),OR(L253="Done",L253="Not required"),M253="Passed",N253="Accepted",ISNUMBER(O253),O253=0,Q253="",F253&lt;&gt;"",S253&lt;&gt;"",T253&lt;&gt;"",ISNUMBER(U253),OR(AND(K253&lt;&gt;"Not required",L253&lt;&gt;"Not required"),V253&lt;&gt;""),P253&lt;&gt;"Rolled back"),"Yes","No")</f>
        <v/>
      </c>
      <c r="Y253" s="15">
        <f>IF(X253="Yes","Completed",IF(H253="","No deadline",IF(NOT(ISNUMBER(H253)),"Check date",IF(H253&lt;Overview!$I$3,"Overdue",IF(H253&lt;=Overview!$I$3+7,"Due soon","On track")))))</f>
        <v/>
      </c>
      <c r="Z253" s="37">
        <f>IF(AND(X253&lt;&gt;"Yes",ISNUMBER(H253)),MAX(0,Overview!$I$3-H253),0)</f>
        <v/>
      </c>
      <c r="AA253" s="5" t="inlineStr">
        <is>
          <t>School Admin</t>
        </is>
      </c>
      <c r="AB253" t="inlineStr">
        <is>
          <t>/school/events</t>
        </is>
      </c>
    </row>
    <row r="254" ht="35" customHeight="1">
      <c r="A254" s="2" t="inlineStr">
        <is>
          <t>SCR-248</t>
        </is>
      </c>
      <c r="B254" s="5" t="inlineStr">
        <is>
          <t>Event Details &amp; Participants</t>
        </is>
      </c>
      <c r="C254" s="5" t="inlineStr">
        <is>
          <t>Events / PTM / Communication</t>
        </is>
      </c>
      <c r="D254" s="2" t="inlineStr">
        <is>
          <t>MVP</t>
        </is>
      </c>
      <c r="E254" s="2" t="inlineStr">
        <is>
          <t>US-0495, US-0496</t>
        </is>
      </c>
      <c r="F254" s="24" t="n"/>
      <c r="G254" s="24" t="n"/>
      <c r="H254" s="32" t="n"/>
      <c r="I254" s="2" t="inlineStr">
        <is>
          <t>Ready</t>
        </is>
      </c>
      <c r="J254" s="38" t="inlineStr">
        <is>
          <t>In progress</t>
        </is>
      </c>
      <c r="K254" s="38" t="inlineStr">
        <is>
          <t>In progress</t>
        </is>
      </c>
      <c r="L254" s="24" t="inlineStr">
        <is>
          <t>Not assessed</t>
        </is>
      </c>
      <c r="M254" s="24" t="inlineStr">
        <is>
          <t>Not assessed</t>
        </is>
      </c>
      <c r="N254" s="24" t="inlineStr">
        <is>
          <t>Not assessed</t>
        </is>
      </c>
      <c r="O254" s="35" t="n"/>
      <c r="P254" s="24" t="inlineStr">
        <is>
          <t>Not scheduled</t>
        </is>
      </c>
      <c r="Q254" s="24" t="n"/>
      <c r="R254" s="24" t="inlineStr">
        <is>
          <t>Consent roster only; no attendance</t>
        </is>
      </c>
      <c r="S254" s="24" t="n"/>
      <c r="T254" s="24" t="n"/>
      <c r="U254" s="36" t="n">
        <v>46285</v>
      </c>
      <c r="V254" s="24" t="n"/>
      <c r="W254" s="15">
        <f>IF(P254="Production",IF(X254="Yes","Released","Review release"),IF(P254="Rolled back","Rolled back",IF(OR(Q254&lt;&gt;"",COUNTIFS(J254:N254,"Blocked")&gt;0),"Blocked",IF(OR(M254="Failed",N254="Rejected",AND(ISNUMBER(O254),O254&gt;0)),"Rework",IF(X254="Yes","Ready for release",IF(N254="Accepted","Verify completion",IF(OR(M254="Passed",M254="In progress",N254="In review"),"Testing / review",IF(OR(COUNTIFS(J254:L254,"In progress")&gt;0,COUNTIFS(J254:L254,"In review")&gt;0,COUNTIFS(J254:L254,"Done")&gt;0),"In progress",IF(COUNTIFS(J254:N254,"Not assessed")=5,"Not assessed","Planned")))))))))</f>
        <v/>
      </c>
      <c r="X254" s="15">
        <f>IF(AND(J254="Done",OR(K254="Done",K254="Not required"),OR(L254="Done",L254="Not required"),M254="Passed",N254="Accepted",ISNUMBER(O254),O254=0,Q254="",F254&lt;&gt;"",S254&lt;&gt;"",T254&lt;&gt;"",ISNUMBER(U254),OR(AND(K254&lt;&gt;"Not required",L254&lt;&gt;"Not required"),V254&lt;&gt;""),P254&lt;&gt;"Rolled back"),"Yes","No")</f>
        <v/>
      </c>
      <c r="Y254" s="15">
        <f>IF(X254="Yes","Completed",IF(H254="","No deadline",IF(NOT(ISNUMBER(H254)),"Check date",IF(H254&lt;Overview!$I$3,"Overdue",IF(H254&lt;=Overview!$I$3+7,"Due soon","On track")))))</f>
        <v/>
      </c>
      <c r="Z254" s="37">
        <f>IF(AND(X254&lt;&gt;"Yes",ISNUMBER(H254)),MAX(0,Overview!$I$3-H254),0)</f>
        <v/>
      </c>
      <c r="AA254" s="5" t="inlineStr">
        <is>
          <t>School Admin</t>
        </is>
      </c>
      <c r="AB254" t="inlineStr">
        <is>
          <t>/school/events</t>
        </is>
      </c>
    </row>
    <row r="255" ht="35" customHeight="1">
      <c r="A255" s="2" t="inlineStr">
        <is>
          <t>SCR-249</t>
        </is>
      </c>
      <c r="B255" s="5" t="inlineStr">
        <is>
          <t>Field Trip &amp; Parent Consent</t>
        </is>
      </c>
      <c r="C255" s="5" t="inlineStr">
        <is>
          <t>Events / PTM / Communication</t>
        </is>
      </c>
      <c r="D255" s="2" t="inlineStr">
        <is>
          <t>Phase 2</t>
        </is>
      </c>
      <c r="E255" s="2" t="inlineStr">
        <is>
          <t>US-0497, US-0498</t>
        </is>
      </c>
      <c r="F255" s="24" t="n"/>
      <c r="G255" s="24" t="n"/>
      <c r="H255" s="32" t="n"/>
      <c r="I255" s="2" t="inlineStr">
        <is>
          <t>Ready</t>
        </is>
      </c>
      <c r="J255" s="33" t="inlineStr">
        <is>
          <t>Done</t>
        </is>
      </c>
      <c r="K255" s="33" t="inlineStr">
        <is>
          <t>Done</t>
        </is>
      </c>
      <c r="L255" s="24" t="inlineStr">
        <is>
          <t>Not assessed</t>
        </is>
      </c>
      <c r="M255" s="24" t="inlineStr">
        <is>
          <t>Not assessed</t>
        </is>
      </c>
      <c r="N255" s="24" t="inlineStr">
        <is>
          <t>Not assessed</t>
        </is>
      </c>
      <c r="O255" s="35" t="n"/>
      <c r="P255" s="24" t="inlineStr">
        <is>
          <t>Not scheduled</t>
        </is>
      </c>
      <c r="Q255" s="24" t="n"/>
      <c r="R255" s="24" t="inlineStr">
        <is>
          <t>Deadline and per-child consent with report</t>
        </is>
      </c>
      <c r="S255" s="24" t="n"/>
      <c r="T255" s="24" t="n"/>
      <c r="U255" s="36" t="n">
        <v>46285</v>
      </c>
      <c r="V255" s="24" t="n"/>
      <c r="W255" s="15">
        <f>IF(P255="Production",IF(X255="Yes","Released","Review release"),IF(P255="Rolled back","Rolled back",IF(OR(Q255&lt;&gt;"",COUNTIFS(J255:N255,"Blocked")&gt;0),"Blocked",IF(OR(M255="Failed",N255="Rejected",AND(ISNUMBER(O255),O255&gt;0)),"Rework",IF(X255="Yes","Ready for release",IF(N255="Accepted","Verify completion",IF(OR(M255="Passed",M255="In progress",N255="In review"),"Testing / review",IF(OR(COUNTIFS(J255:L255,"In progress")&gt;0,COUNTIFS(J255:L255,"In review")&gt;0,COUNTIFS(J255:L255,"Done")&gt;0),"In progress",IF(COUNTIFS(J255:N255,"Not assessed")=5,"Not assessed","Planned")))))))))</f>
        <v/>
      </c>
      <c r="X255" s="15">
        <f>IF(AND(J255="Done",OR(K255="Done",K255="Not required"),OR(L255="Done",L255="Not required"),M255="Passed",N255="Accepted",ISNUMBER(O255),O255=0,Q255="",F255&lt;&gt;"",S255&lt;&gt;"",T255&lt;&gt;"",ISNUMBER(U255),OR(AND(K255&lt;&gt;"Not required",L255&lt;&gt;"Not required"),V255&lt;&gt;""),P255&lt;&gt;"Rolled back"),"Yes","No")</f>
        <v/>
      </c>
      <c r="Y255" s="15">
        <f>IF(X255="Yes","Completed",IF(H255="","No deadline",IF(NOT(ISNUMBER(H255)),"Check date",IF(H255&lt;Overview!$I$3,"Overdue",IF(H255&lt;=Overview!$I$3+7,"Due soon","On track")))))</f>
        <v/>
      </c>
      <c r="Z255" s="37">
        <f>IF(AND(X255&lt;&gt;"Yes",ISNUMBER(H255)),MAX(0,Overview!$I$3-H255),0)</f>
        <v/>
      </c>
      <c r="AA255" s="5" t="inlineStr">
        <is>
          <t>School Admin</t>
        </is>
      </c>
      <c r="AB255" t="inlineStr">
        <is>
          <t>/parent/events</t>
        </is>
      </c>
    </row>
    <row r="256" ht="35" customHeight="1">
      <c r="A256" s="2" t="inlineStr">
        <is>
          <t>SCR-250</t>
        </is>
      </c>
      <c r="B256" s="5" t="inlineStr">
        <is>
          <t>PTM Setup</t>
        </is>
      </c>
      <c r="C256" s="5" t="inlineStr">
        <is>
          <t>Events / PTM / Communication</t>
        </is>
      </c>
      <c r="D256" s="2" t="inlineStr">
        <is>
          <t>Phase 2</t>
        </is>
      </c>
      <c r="E256" s="2" t="inlineStr">
        <is>
          <t>US-0499, US-0500</t>
        </is>
      </c>
      <c r="F256" s="24" t="n"/>
      <c r="G256" s="24" t="n"/>
      <c r="H256" s="32" t="n"/>
      <c r="I256" s="2" t="inlineStr">
        <is>
          <t>Ready</t>
        </is>
      </c>
      <c r="J256" s="38" t="inlineStr">
        <is>
          <t>In progress</t>
        </is>
      </c>
      <c r="K256" s="38" t="inlineStr">
        <is>
          <t>In progress</t>
        </is>
      </c>
      <c r="L256" s="24" t="inlineStr">
        <is>
          <t>Not assessed</t>
        </is>
      </c>
      <c r="M256" s="24" t="inlineStr">
        <is>
          <t>Not assessed</t>
        </is>
      </c>
      <c r="N256" s="24" t="inlineStr">
        <is>
          <t>Not assessed</t>
        </is>
      </c>
      <c r="O256" s="35" t="n"/>
      <c r="P256" s="24" t="inlineStr">
        <is>
          <t>Not scheduled</t>
        </is>
      </c>
      <c r="Q256" s="24" t="n"/>
      <c r="R256" s="24" t="inlineStr">
        <is>
          <t>Admin-only setup; teachers cannot create</t>
        </is>
      </c>
      <c r="S256" s="24" t="n"/>
      <c r="T256" s="24" t="n"/>
      <c r="U256" s="36" t="n">
        <v>46285</v>
      </c>
      <c r="V256" s="24" t="n"/>
      <c r="W256" s="15">
        <f>IF(P256="Production",IF(X256="Yes","Released","Review release"),IF(P256="Rolled back","Rolled back",IF(OR(Q256&lt;&gt;"",COUNTIFS(J256:N256,"Blocked")&gt;0),"Blocked",IF(OR(M256="Failed",N256="Rejected",AND(ISNUMBER(O256),O256&gt;0)),"Rework",IF(X256="Yes","Ready for release",IF(N256="Accepted","Verify completion",IF(OR(M256="Passed",M256="In progress",N256="In review"),"Testing / review",IF(OR(COUNTIFS(J256:L256,"In progress")&gt;0,COUNTIFS(J256:L256,"In review")&gt;0,COUNTIFS(J256:L256,"Done")&gt;0),"In progress",IF(COUNTIFS(J256:N256,"Not assessed")=5,"Not assessed","Planned")))))))))</f>
        <v/>
      </c>
      <c r="X256" s="15">
        <f>IF(AND(J256="Done",OR(K256="Done",K256="Not required"),OR(L256="Done",L256="Not required"),M256="Passed",N256="Accepted",ISNUMBER(O256),O256=0,Q256="",F256&lt;&gt;"",S256&lt;&gt;"",T256&lt;&gt;"",ISNUMBER(U256),OR(AND(K256&lt;&gt;"Not required",L256&lt;&gt;"Not required"),V256&lt;&gt;""),P256&lt;&gt;"Rolled back"),"Yes","No")</f>
        <v/>
      </c>
      <c r="Y256" s="15">
        <f>IF(X256="Yes","Completed",IF(H256="","No deadline",IF(NOT(ISNUMBER(H256)),"Check date",IF(H256&lt;Overview!$I$3,"Overdue",IF(H256&lt;=Overview!$I$3+7,"Due soon","On track")))))</f>
        <v/>
      </c>
      <c r="Z256" s="37">
        <f>IF(AND(X256&lt;&gt;"Yes",ISNUMBER(H256)),MAX(0,Overview!$I$3-H256),0)</f>
        <v/>
      </c>
      <c r="AA256" s="5" t="inlineStr">
        <is>
          <t>Teacher</t>
        </is>
      </c>
      <c r="AB256" t="inlineStr">
        <is>
          <t>/school/ptm</t>
        </is>
      </c>
    </row>
    <row r="257" ht="35" customHeight="1">
      <c r="A257" s="2" t="inlineStr">
        <is>
          <t>SCR-251</t>
        </is>
      </c>
      <c r="B257" s="5" t="inlineStr">
        <is>
          <t>PTM Slot Booking</t>
        </is>
      </c>
      <c r="C257" s="5" t="inlineStr">
        <is>
          <t>Events / PTM / Communication</t>
        </is>
      </c>
      <c r="D257" s="2" t="inlineStr">
        <is>
          <t>Phase 2</t>
        </is>
      </c>
      <c r="E257" s="2" t="inlineStr">
        <is>
          <t>US-0501, US-0502</t>
        </is>
      </c>
      <c r="F257" s="24" t="n"/>
      <c r="G257" s="24" t="n"/>
      <c r="H257" s="32" t="n"/>
      <c r="I257" s="2" t="inlineStr">
        <is>
          <t>Ready</t>
        </is>
      </c>
      <c r="J257" s="33" t="inlineStr">
        <is>
          <t>Done</t>
        </is>
      </c>
      <c r="K257" s="33" t="inlineStr">
        <is>
          <t>Done</t>
        </is>
      </c>
      <c r="L257" s="24" t="inlineStr">
        <is>
          <t>Not assessed</t>
        </is>
      </c>
      <c r="M257" s="24" t="inlineStr">
        <is>
          <t>Not assessed</t>
        </is>
      </c>
      <c r="N257" s="24" t="inlineStr">
        <is>
          <t>Not assessed</t>
        </is>
      </c>
      <c r="O257" s="35" t="n"/>
      <c r="P257" s="24" t="inlineStr">
        <is>
          <t>Not scheduled</t>
        </is>
      </c>
      <c r="Q257" s="24" t="n"/>
      <c r="R257" s="24" t="inlineStr">
        <is>
          <t>Slot grid, book, cancel, mark done</t>
        </is>
      </c>
      <c r="S257" s="24" t="n"/>
      <c r="T257" s="24" t="n"/>
      <c r="U257" s="36" t="n">
        <v>46285</v>
      </c>
      <c r="V257" s="24" t="n"/>
      <c r="W257" s="15">
        <f>IF(P257="Production",IF(X257="Yes","Released","Review release"),IF(P257="Rolled back","Rolled back",IF(OR(Q257&lt;&gt;"",COUNTIFS(J257:N257,"Blocked")&gt;0),"Blocked",IF(OR(M257="Failed",N257="Rejected",AND(ISNUMBER(O257),O257&gt;0)),"Rework",IF(X257="Yes","Ready for release",IF(N257="Accepted","Verify completion",IF(OR(M257="Passed",M257="In progress",N257="In review"),"Testing / review",IF(OR(COUNTIFS(J257:L257,"In progress")&gt;0,COUNTIFS(J257:L257,"In review")&gt;0,COUNTIFS(J257:L257,"Done")&gt;0),"In progress",IF(COUNTIFS(J257:N257,"Not assessed")=5,"Not assessed","Planned")))))))))</f>
        <v/>
      </c>
      <c r="X257" s="15">
        <f>IF(AND(J257="Done",OR(K257="Done",K257="Not required"),OR(L257="Done",L257="Not required"),M257="Passed",N257="Accepted",ISNUMBER(O257),O257=0,Q257="",F257&lt;&gt;"",S257&lt;&gt;"",T257&lt;&gt;"",ISNUMBER(U257),OR(AND(K257&lt;&gt;"Not required",L257&lt;&gt;"Not required"),V257&lt;&gt;""),P257&lt;&gt;"Rolled back"),"Yes","No")</f>
        <v/>
      </c>
      <c r="Y257" s="15">
        <f>IF(X257="Yes","Completed",IF(H257="","No deadline",IF(NOT(ISNUMBER(H257)),"Check date",IF(H257&lt;Overview!$I$3,"Overdue",IF(H257&lt;=Overview!$I$3+7,"Due soon","On track")))))</f>
        <v/>
      </c>
      <c r="Z257" s="37">
        <f>IF(AND(X257&lt;&gt;"Yes",ISNUMBER(H257)),MAX(0,Overview!$I$3-H257),0)</f>
        <v/>
      </c>
      <c r="AA257" s="5" t="inlineStr">
        <is>
          <t>Teacher</t>
        </is>
      </c>
      <c r="AB257" t="inlineStr">
        <is>
          <t>/parent/meetings</t>
        </is>
      </c>
    </row>
    <row r="258" ht="35" customHeight="1">
      <c r="A258" s="2" t="inlineStr">
        <is>
          <t>SCR-252</t>
        </is>
      </c>
      <c r="B258" s="5" t="inlineStr">
        <is>
          <t>Announcements</t>
        </is>
      </c>
      <c r="C258" s="5" t="inlineStr">
        <is>
          <t>Events / PTM / Communication</t>
        </is>
      </c>
      <c r="D258" s="2" t="inlineStr">
        <is>
          <t>Phase 2</t>
        </is>
      </c>
      <c r="E258" s="2" t="inlineStr">
        <is>
          <t>US-0503, US-0504</t>
        </is>
      </c>
      <c r="F258" s="24" t="n"/>
      <c r="G258" s="24" t="n"/>
      <c r="H258" s="32" t="n"/>
      <c r="I258" s="2" t="inlineStr">
        <is>
          <t>Ready</t>
        </is>
      </c>
      <c r="J258" s="33" t="inlineStr">
        <is>
          <t>Done</t>
        </is>
      </c>
      <c r="K258" s="33" t="inlineStr">
        <is>
          <t>Done</t>
        </is>
      </c>
      <c r="L258" s="24" t="inlineStr">
        <is>
          <t>Not assessed</t>
        </is>
      </c>
      <c r="M258" s="24" t="inlineStr">
        <is>
          <t>Not assessed</t>
        </is>
      </c>
      <c r="N258" s="24" t="inlineStr">
        <is>
          <t>Not assessed</t>
        </is>
      </c>
      <c r="O258" s="35" t="n"/>
      <c r="P258" s="24" t="inlineStr">
        <is>
          <t>Not scheduled</t>
        </is>
      </c>
      <c r="Q258" s="24" t="n"/>
      <c r="R258" s="24" t="inlineStr">
        <is>
          <t>Title, body, audience, attachment, send</t>
        </is>
      </c>
      <c r="S258" s="24" t="n"/>
      <c r="T258" s="24" t="n"/>
      <c r="U258" s="36" t="n">
        <v>46285</v>
      </c>
      <c r="V258" s="24" t="n"/>
      <c r="W258" s="15">
        <f>IF(P258="Production",IF(X258="Yes","Released","Review release"),IF(P258="Rolled back","Rolled back",IF(OR(Q258&lt;&gt;"",COUNTIFS(J258:N258,"Blocked")&gt;0),"Blocked",IF(OR(M258="Failed",N258="Rejected",AND(ISNUMBER(O258),O258&gt;0)),"Rework",IF(X258="Yes","Ready for release",IF(N258="Accepted","Verify completion",IF(OR(M258="Passed",M258="In progress",N258="In review"),"Testing / review",IF(OR(COUNTIFS(J258:L258,"In progress")&gt;0,COUNTIFS(J258:L258,"In review")&gt;0,COUNTIFS(J258:L258,"Done")&gt;0),"In progress",IF(COUNTIFS(J258:N258,"Not assessed")=5,"Not assessed","Planned")))))))))</f>
        <v/>
      </c>
      <c r="X258" s="15">
        <f>IF(AND(J258="Done",OR(K258="Done",K258="Not required"),OR(L258="Done",L258="Not required"),M258="Passed",N258="Accepted",ISNUMBER(O258),O258=0,Q258="",F258&lt;&gt;"",S258&lt;&gt;"",T258&lt;&gt;"",ISNUMBER(U258),OR(AND(K258&lt;&gt;"Not required",L258&lt;&gt;"Not required"),V258&lt;&gt;""),P258&lt;&gt;"Rolled back"),"Yes","No")</f>
        <v/>
      </c>
      <c r="Y258" s="15">
        <f>IF(X258="Yes","Completed",IF(H258="","No deadline",IF(NOT(ISNUMBER(H258)),"Check date",IF(H258&lt;Overview!$I$3,"Overdue",IF(H258&lt;=Overview!$I$3+7,"Due soon","On track")))))</f>
        <v/>
      </c>
      <c r="Z258" s="37">
        <f>IF(AND(X258&lt;&gt;"Yes",ISNUMBER(H258)),MAX(0,Overview!$I$3-H258),0)</f>
        <v/>
      </c>
      <c r="AA258" s="5" t="inlineStr">
        <is>
          <t>School Admin</t>
        </is>
      </c>
      <c r="AB258" t="inlineStr">
        <is>
          <t>/school/notices</t>
        </is>
      </c>
    </row>
    <row r="259" ht="35" customHeight="1">
      <c r="A259" s="2" t="inlineStr">
        <is>
          <t>SCR-253</t>
        </is>
      </c>
      <c r="B259" s="5" t="inlineStr">
        <is>
          <t>Messaging / Inbox</t>
        </is>
      </c>
      <c r="C259" s="5" t="inlineStr">
        <is>
          <t>Events / PTM / Communication</t>
        </is>
      </c>
      <c r="D259" s="2" t="inlineStr">
        <is>
          <t>Phase 3</t>
        </is>
      </c>
      <c r="E259" s="2" t="inlineStr">
        <is>
          <t>US-0505, US-0506</t>
        </is>
      </c>
      <c r="F259" s="24" t="n"/>
      <c r="G259" s="24" t="n"/>
      <c r="H259" s="32" t="n"/>
      <c r="I259" s="2" t="inlineStr">
        <is>
          <t>Ready</t>
        </is>
      </c>
      <c r="J259" s="38" t="inlineStr">
        <is>
          <t>In progress</t>
        </is>
      </c>
      <c r="K259" s="38" t="inlineStr">
        <is>
          <t>In progress</t>
        </is>
      </c>
      <c r="L259" s="24" t="inlineStr">
        <is>
          <t>Not assessed</t>
        </is>
      </c>
      <c r="M259" s="24" t="inlineStr">
        <is>
          <t>Not assessed</t>
        </is>
      </c>
      <c r="N259" s="24" t="inlineStr">
        <is>
          <t>Not assessed</t>
        </is>
      </c>
      <c r="O259" s="35" t="n"/>
      <c r="P259" s="24" t="inlineStr">
        <is>
          <t>Not scheduled</t>
        </is>
      </c>
      <c r="Q259" s="24" t="n"/>
      <c r="R259" s="24" t="inlineStr">
        <is>
          <t>Teacher and parent only; admin has no inbox</t>
        </is>
      </c>
      <c r="S259" s="24" t="n"/>
      <c r="T259" s="24" t="n"/>
      <c r="U259" s="36" t="n">
        <v>46285</v>
      </c>
      <c r="V259" s="24" t="n"/>
      <c r="W259" s="15">
        <f>IF(P259="Production",IF(X259="Yes","Released","Review release"),IF(P259="Rolled back","Rolled back",IF(OR(Q259&lt;&gt;"",COUNTIFS(J259:N259,"Blocked")&gt;0),"Blocked",IF(OR(M259="Failed",N259="Rejected",AND(ISNUMBER(O259),O259&gt;0)),"Rework",IF(X259="Yes","Ready for release",IF(N259="Accepted","Verify completion",IF(OR(M259="Passed",M259="In progress",N259="In review"),"Testing / review",IF(OR(COUNTIFS(J259:L259,"In progress")&gt;0,COUNTIFS(J259:L259,"In review")&gt;0,COUNTIFS(J259:L259,"Done")&gt;0),"In progress",IF(COUNTIFS(J259:N259,"Not assessed")=5,"Not assessed","Planned")))))))))</f>
        <v/>
      </c>
      <c r="X259" s="15">
        <f>IF(AND(J259="Done",OR(K259="Done",K259="Not required"),OR(L259="Done",L259="Not required"),M259="Passed",N259="Accepted",ISNUMBER(O259),O259=0,Q259="",F259&lt;&gt;"",S259&lt;&gt;"",T259&lt;&gt;"",ISNUMBER(U259),OR(AND(K259&lt;&gt;"Not required",L259&lt;&gt;"Not required"),V259&lt;&gt;""),P259&lt;&gt;"Rolled back"),"Yes","No")</f>
        <v/>
      </c>
      <c r="Y259" s="15">
        <f>IF(X259="Yes","Completed",IF(H259="","No deadline",IF(NOT(ISNUMBER(H259)),"Check date",IF(H259&lt;Overview!$I$3,"Overdue",IF(H259&lt;=Overview!$I$3+7,"Due soon","On track")))))</f>
        <v/>
      </c>
      <c r="Z259" s="37">
        <f>IF(AND(X259&lt;&gt;"Yes",ISNUMBER(H259)),MAX(0,Overview!$I$3-H259),0)</f>
        <v/>
      </c>
      <c r="AA259" s="5" t="inlineStr">
        <is>
          <t>School Admin</t>
        </is>
      </c>
      <c r="AB259" t="inlineStr">
        <is>
          <t>/teacher/messages</t>
        </is>
      </c>
    </row>
    <row r="260" ht="35" customHeight="1">
      <c r="A260" s="2" t="inlineStr">
        <is>
          <t>SCR-254</t>
        </is>
      </c>
      <c r="B260" s="5" t="inlineStr">
        <is>
          <t>Notification Campaigns</t>
        </is>
      </c>
      <c r="C260" s="5" t="inlineStr">
        <is>
          <t>Events / PTM / Communication</t>
        </is>
      </c>
      <c r="D260" s="2" t="inlineStr">
        <is>
          <t>Phase 3</t>
        </is>
      </c>
      <c r="E260" s="2" t="inlineStr">
        <is>
          <t>US-0507, US-0508</t>
        </is>
      </c>
      <c r="F260" s="24" t="n"/>
      <c r="G260" s="24" t="n"/>
      <c r="H260" s="32" t="n"/>
      <c r="I260" s="2" t="inlineStr">
        <is>
          <t>Ready</t>
        </is>
      </c>
      <c r="J260" s="38" t="inlineStr">
        <is>
          <t>In progress</t>
        </is>
      </c>
      <c r="K260" s="38" t="inlineStr">
        <is>
          <t>In progress</t>
        </is>
      </c>
      <c r="L260" s="24" t="inlineStr">
        <is>
          <t>Not assessed</t>
        </is>
      </c>
      <c r="M260" s="24" t="inlineStr">
        <is>
          <t>Not assessed</t>
        </is>
      </c>
      <c r="N260" s="24" t="inlineStr">
        <is>
          <t>Not assessed</t>
        </is>
      </c>
      <c r="O260" s="35" t="n"/>
      <c r="P260" s="24" t="inlineStr">
        <is>
          <t>Not scheduled</t>
        </is>
      </c>
      <c r="Q260" s="24" t="n"/>
      <c r="R260" s="24" t="inlineStr">
        <is>
          <t>SMS and email skipped; schedule not wired</t>
        </is>
      </c>
      <c r="S260" s="24" t="n"/>
      <c r="T260" s="24" t="n"/>
      <c r="U260" s="36" t="n">
        <v>46285</v>
      </c>
      <c r="V260" s="24" t="n"/>
      <c r="W260" s="15">
        <f>IF(P260="Production",IF(X260="Yes","Released","Review release"),IF(P260="Rolled back","Rolled back",IF(OR(Q260&lt;&gt;"",COUNTIFS(J260:N260,"Blocked")&gt;0),"Blocked",IF(OR(M260="Failed",N260="Rejected",AND(ISNUMBER(O260),O260&gt;0)),"Rework",IF(X260="Yes","Ready for release",IF(N260="Accepted","Verify completion",IF(OR(M260="Passed",M260="In progress",N260="In review"),"Testing / review",IF(OR(COUNTIFS(J260:L260,"In progress")&gt;0,COUNTIFS(J260:L260,"In review")&gt;0,COUNTIFS(J260:L260,"Done")&gt;0),"In progress",IF(COUNTIFS(J260:N260,"Not assessed")=5,"Not assessed","Planned")))))))))</f>
        <v/>
      </c>
      <c r="X260" s="15">
        <f>IF(AND(J260="Done",OR(K260="Done",K260="Not required"),OR(L260="Done",L260="Not required"),M260="Passed",N260="Accepted",ISNUMBER(O260),O260=0,Q260="",F260&lt;&gt;"",S260&lt;&gt;"",T260&lt;&gt;"",ISNUMBER(U260),OR(AND(K260&lt;&gt;"Not required",L260&lt;&gt;"Not required"),V260&lt;&gt;""),P260&lt;&gt;"Rolled back"),"Yes","No")</f>
        <v/>
      </c>
      <c r="Y260" s="15">
        <f>IF(X260="Yes","Completed",IF(H260="","No deadline",IF(NOT(ISNUMBER(H260)),"Check date",IF(H260&lt;Overview!$I$3,"Overdue",IF(H260&lt;=Overview!$I$3+7,"Due soon","On track")))))</f>
        <v/>
      </c>
      <c r="Z260" s="37">
        <f>IF(AND(X260&lt;&gt;"Yes",ISNUMBER(H260)),MAX(0,Overview!$I$3-H260),0)</f>
        <v/>
      </c>
      <c r="AA260" s="5" t="inlineStr">
        <is>
          <t>School Admin</t>
        </is>
      </c>
      <c r="AB260" t="inlineStr">
        <is>
          <t>/school/notices</t>
        </is>
      </c>
    </row>
    <row r="261" ht="35" customHeight="1">
      <c r="A261" s="2" t="inlineStr">
        <is>
          <t>SCR-255</t>
        </is>
      </c>
      <c r="B261" s="5" t="inlineStr">
        <is>
          <t>Communication History</t>
        </is>
      </c>
      <c r="C261" s="5" t="inlineStr">
        <is>
          <t>Events / PTM / Communication</t>
        </is>
      </c>
      <c r="D261" s="2" t="inlineStr">
        <is>
          <t>Phase 3</t>
        </is>
      </c>
      <c r="E261" s="2" t="inlineStr">
        <is>
          <t>US-0509, US-0510</t>
        </is>
      </c>
      <c r="F261" s="24" t="n"/>
      <c r="G261" s="24" t="n"/>
      <c r="H261" s="32" t="n"/>
      <c r="I261" s="2" t="inlineStr">
        <is>
          <t>Ready</t>
        </is>
      </c>
      <c r="J261" s="38" t="inlineStr">
        <is>
          <t>In progress</t>
        </is>
      </c>
      <c r="K261" s="38" t="inlineStr">
        <is>
          <t>In progress</t>
        </is>
      </c>
      <c r="L261" s="24" t="inlineStr">
        <is>
          <t>Not assessed</t>
        </is>
      </c>
      <c r="M261" s="24" t="inlineStr">
        <is>
          <t>Not assessed</t>
        </is>
      </c>
      <c r="N261" s="24" t="inlineStr">
        <is>
          <t>Not assessed</t>
        </is>
      </c>
      <c r="O261" s="35" t="n"/>
      <c r="P261" s="24" t="inlineStr">
        <is>
          <t>Not scheduled</t>
        </is>
      </c>
      <c r="Q261" s="24" t="n"/>
      <c r="R261" s="24" t="inlineStr">
        <is>
          <t>Per-notice delivery only, no history log</t>
        </is>
      </c>
      <c r="S261" s="24" t="n"/>
      <c r="T261" s="24" t="n"/>
      <c r="U261" s="36" t="n">
        <v>46285</v>
      </c>
      <c r="V261" s="24" t="n"/>
      <c r="W261" s="15">
        <f>IF(P261="Production",IF(X261="Yes","Released","Review release"),IF(P261="Rolled back","Rolled back",IF(OR(Q261&lt;&gt;"",COUNTIFS(J261:N261,"Blocked")&gt;0),"Blocked",IF(OR(M261="Failed",N261="Rejected",AND(ISNUMBER(O261),O261&gt;0)),"Rework",IF(X261="Yes","Ready for release",IF(N261="Accepted","Verify completion",IF(OR(M261="Passed",M261="In progress",N261="In review"),"Testing / review",IF(OR(COUNTIFS(J261:L261,"In progress")&gt;0,COUNTIFS(J261:L261,"In review")&gt;0,COUNTIFS(J261:L261,"Done")&gt;0),"In progress",IF(COUNTIFS(J261:N261,"Not assessed")=5,"Not assessed","Planned")))))))))</f>
        <v/>
      </c>
      <c r="X261" s="15">
        <f>IF(AND(J261="Done",OR(K261="Done",K261="Not required"),OR(L261="Done",L261="Not required"),M261="Passed",N261="Accepted",ISNUMBER(O261),O261=0,Q261="",F261&lt;&gt;"",S261&lt;&gt;"",T261&lt;&gt;"",ISNUMBER(U261),OR(AND(K261&lt;&gt;"Not required",L261&lt;&gt;"Not required"),V261&lt;&gt;""),P261&lt;&gt;"Rolled back"),"Yes","No")</f>
        <v/>
      </c>
      <c r="Y261" s="15">
        <f>IF(X261="Yes","Completed",IF(H261="","No deadline",IF(NOT(ISNUMBER(H261)),"Check date",IF(H261&lt;Overview!$I$3,"Overdue",IF(H261&lt;=Overview!$I$3+7,"Due soon","On track")))))</f>
        <v/>
      </c>
      <c r="Z261" s="37">
        <f>IF(AND(X261&lt;&gt;"Yes",ISNUMBER(H261)),MAX(0,Overview!$I$3-H261),0)</f>
        <v/>
      </c>
      <c r="AA261" s="5" t="inlineStr">
        <is>
          <t>School Admin</t>
        </is>
      </c>
      <c r="AB261" t="inlineStr">
        <is>
          <t>/school/notices</t>
        </is>
      </c>
    </row>
    <row r="262" ht="35" customHeight="1">
      <c r="A262" s="2" t="inlineStr">
        <is>
          <t>SCR-256</t>
        </is>
      </c>
      <c r="B262" s="5" t="inlineStr">
        <is>
          <t>Document Repository</t>
        </is>
      </c>
      <c r="C262" s="5" t="inlineStr">
        <is>
          <t>Documents &amp; Certificates</t>
        </is>
      </c>
      <c r="D262" s="2" t="inlineStr">
        <is>
          <t>MVP</t>
        </is>
      </c>
      <c r="E262" s="2" t="inlineStr">
        <is>
          <t>US-0511, US-0512</t>
        </is>
      </c>
      <c r="F262" s="24" t="n"/>
      <c r="G262" s="24" t="n"/>
      <c r="H262" s="32" t="n"/>
      <c r="I262" s="2" t="inlineStr">
        <is>
          <t>Ready</t>
        </is>
      </c>
      <c r="J262" s="33" t="inlineStr">
        <is>
          <t>Done</t>
        </is>
      </c>
      <c r="K262" s="33" t="inlineStr">
        <is>
          <t>Done</t>
        </is>
      </c>
      <c r="L262" s="24" t="inlineStr">
        <is>
          <t>Not assessed</t>
        </is>
      </c>
      <c r="M262" s="24" t="inlineStr">
        <is>
          <t>Not assessed</t>
        </is>
      </c>
      <c r="N262" s="24" t="inlineStr">
        <is>
          <t>Not assessed</t>
        </is>
      </c>
      <c r="O262" s="35" t="n"/>
      <c r="P262" s="24" t="inlineStr">
        <is>
          <t>Not scheduled</t>
        </is>
      </c>
      <c r="Q262" s="24" t="n"/>
      <c r="R262" s="24" t="inlineStr">
        <is>
          <t>Owner, category, verification and expiry</t>
        </is>
      </c>
      <c r="S262" s="24" t="n"/>
      <c r="T262" s="24" t="n"/>
      <c r="U262" s="36" t="n">
        <v>46285</v>
      </c>
      <c r="V262" s="24" t="n"/>
      <c r="W262" s="15">
        <f>IF(P262="Production",IF(X262="Yes","Released","Review release"),IF(P262="Rolled back","Rolled back",IF(OR(Q262&lt;&gt;"",COUNTIFS(J262:N262,"Blocked")&gt;0),"Blocked",IF(OR(M262="Failed",N262="Rejected",AND(ISNUMBER(O262),O262&gt;0)),"Rework",IF(X262="Yes","Ready for release",IF(N262="Accepted","Verify completion",IF(OR(M262="Passed",M262="In progress",N262="In review"),"Testing / review",IF(OR(COUNTIFS(J262:L262,"In progress")&gt;0,COUNTIFS(J262:L262,"In review")&gt;0,COUNTIFS(J262:L262,"Done")&gt;0),"In progress",IF(COUNTIFS(J262:N262,"Not assessed")=5,"Not assessed","Planned")))))))))</f>
        <v/>
      </c>
      <c r="X262" s="15">
        <f>IF(AND(J262="Done",OR(K262="Done",K262="Not required"),OR(L262="Done",L262="Not required"),M262="Passed",N262="Accepted",ISNUMBER(O262),O262=0,Q262="",F262&lt;&gt;"",S262&lt;&gt;"",T262&lt;&gt;"",ISNUMBER(U262),OR(AND(K262&lt;&gt;"Not required",L262&lt;&gt;"Not required"),V262&lt;&gt;""),P262&lt;&gt;"Rolled back"),"Yes","No")</f>
        <v/>
      </c>
      <c r="Y262" s="15">
        <f>IF(X262="Yes","Completed",IF(H262="","No deadline",IF(NOT(ISNUMBER(H262)),"Check date",IF(H262&lt;Overview!$I$3,"Overdue",IF(H262&lt;=Overview!$I$3+7,"Due soon","On track")))))</f>
        <v/>
      </c>
      <c r="Z262" s="37">
        <f>IF(AND(X262&lt;&gt;"Yes",ISNUMBER(H262)),MAX(0,Overview!$I$3-H262),0)</f>
        <v/>
      </c>
      <c r="AA262" s="5" t="inlineStr">
        <is>
          <t>School Admin</t>
        </is>
      </c>
      <c r="AB262" t="inlineStr">
        <is>
          <t>/school/documents</t>
        </is>
      </c>
    </row>
    <row r="263" ht="35" customHeight="1">
      <c r="A263" s="2" t="inlineStr">
        <is>
          <t>SCR-257</t>
        </is>
      </c>
      <c r="B263" s="5" t="inlineStr">
        <is>
          <t>Student Documents</t>
        </is>
      </c>
      <c r="C263" s="5" t="inlineStr">
        <is>
          <t>Documents &amp; Certificates</t>
        </is>
      </c>
      <c r="D263" s="2" t="inlineStr">
        <is>
          <t>MVP</t>
        </is>
      </c>
      <c r="E263" s="2" t="inlineStr">
        <is>
          <t>US-0513, US-0514</t>
        </is>
      </c>
      <c r="F263" s="24" t="n"/>
      <c r="G263" s="24" t="n"/>
      <c r="H263" s="32" t="n"/>
      <c r="I263" s="2" t="inlineStr">
        <is>
          <t>Ready</t>
        </is>
      </c>
      <c r="J263" s="33" t="inlineStr">
        <is>
          <t>Done</t>
        </is>
      </c>
      <c r="K263" s="33" t="inlineStr">
        <is>
          <t>Done</t>
        </is>
      </c>
      <c r="L263" s="24" t="inlineStr">
        <is>
          <t>Not assessed</t>
        </is>
      </c>
      <c r="M263" s="24" t="inlineStr">
        <is>
          <t>Not assessed</t>
        </is>
      </c>
      <c r="N263" s="24" t="inlineStr">
        <is>
          <t>Not assessed</t>
        </is>
      </c>
      <c r="O263" s="35" t="n"/>
      <c r="P263" s="24" t="inlineStr">
        <is>
          <t>Not scheduled</t>
        </is>
      </c>
      <c r="Q263" s="24" t="n"/>
      <c r="R263" s="24" t="inlineStr">
        <is>
          <t>Expiring and unverified visible at a glance</t>
        </is>
      </c>
      <c r="S263" s="24" t="n"/>
      <c r="T263" s="24" t="n"/>
      <c r="U263" s="36" t="n">
        <v>46285</v>
      </c>
      <c r="V263" s="24" t="n"/>
      <c r="W263" s="15">
        <f>IF(P263="Production",IF(X263="Yes","Released","Review release"),IF(P263="Rolled back","Rolled back",IF(OR(Q263&lt;&gt;"",COUNTIFS(J263:N263,"Blocked")&gt;0),"Blocked",IF(OR(M263="Failed",N263="Rejected",AND(ISNUMBER(O263),O263&gt;0)),"Rework",IF(X263="Yes","Ready for release",IF(N263="Accepted","Verify completion",IF(OR(M263="Passed",M263="In progress",N263="In review"),"Testing / review",IF(OR(COUNTIFS(J263:L263,"In progress")&gt;0,COUNTIFS(J263:L263,"In review")&gt;0,COUNTIFS(J263:L263,"Done")&gt;0),"In progress",IF(COUNTIFS(J263:N263,"Not assessed")=5,"Not assessed","Planned")))))))))</f>
        <v/>
      </c>
      <c r="X263" s="15">
        <f>IF(AND(J263="Done",OR(K263="Done",K263="Not required"),OR(L263="Done",L263="Not required"),M263="Passed",N263="Accepted",ISNUMBER(O263),O263=0,Q263="",F263&lt;&gt;"",S263&lt;&gt;"",T263&lt;&gt;"",ISNUMBER(U263),OR(AND(K263&lt;&gt;"Not required",L263&lt;&gt;"Not required"),V263&lt;&gt;""),P263&lt;&gt;"Rolled back"),"Yes","No")</f>
        <v/>
      </c>
      <c r="Y263" s="15">
        <f>IF(X263="Yes","Completed",IF(H263="","No deadline",IF(NOT(ISNUMBER(H263)),"Check date",IF(H263&lt;Overview!$I$3,"Overdue",IF(H263&lt;=Overview!$I$3+7,"Due soon","On track")))))</f>
        <v/>
      </c>
      <c r="Z263" s="37">
        <f>IF(AND(X263&lt;&gt;"Yes",ISNUMBER(H263)),MAX(0,Overview!$I$3-H263),0)</f>
        <v/>
      </c>
      <c r="AA263" s="5" t="inlineStr">
        <is>
          <t>School Admin</t>
        </is>
      </c>
      <c r="AB263" t="inlineStr">
        <is>
          <t>/school/documents/students</t>
        </is>
      </c>
    </row>
    <row r="264" ht="35" customHeight="1">
      <c r="A264" s="2" t="inlineStr">
        <is>
          <t>SCR-258</t>
        </is>
      </c>
      <c r="B264" s="5" t="inlineStr">
        <is>
          <t>Staff Documents</t>
        </is>
      </c>
      <c r="C264" s="5" t="inlineStr">
        <is>
          <t>Documents &amp; Certificates</t>
        </is>
      </c>
      <c r="D264" s="2" t="inlineStr">
        <is>
          <t>Phase 2</t>
        </is>
      </c>
      <c r="E264" s="2" t="inlineStr">
        <is>
          <t>US-0515, US-0516</t>
        </is>
      </c>
      <c r="F264" s="24" t="n"/>
      <c r="G264" s="24" t="n"/>
      <c r="H264" s="32" t="n"/>
      <c r="I264" s="2" t="inlineStr">
        <is>
          <t>Ready</t>
        </is>
      </c>
      <c r="J264" s="33" t="inlineStr">
        <is>
          <t>Done</t>
        </is>
      </c>
      <c r="K264" s="33" t="inlineStr">
        <is>
          <t>Done</t>
        </is>
      </c>
      <c r="L264" s="24" t="inlineStr">
        <is>
          <t>Not assessed</t>
        </is>
      </c>
      <c r="M264" s="24" t="inlineStr">
        <is>
          <t>Not assessed</t>
        </is>
      </c>
      <c r="N264" s="24" t="inlineStr">
        <is>
          <t>Not assessed</t>
        </is>
      </c>
      <c r="O264" s="35" t="n"/>
      <c r="P264" s="24" t="inlineStr">
        <is>
          <t>Not scheduled</t>
        </is>
      </c>
      <c r="Q264" s="24" t="n"/>
      <c r="R264" s="24" t="inlineStr">
        <is>
          <t>Same view, filtered to staff</t>
        </is>
      </c>
      <c r="S264" s="24" t="n"/>
      <c r="T264" s="24" t="n"/>
      <c r="U264" s="36" t="n">
        <v>46285</v>
      </c>
      <c r="V264" s="24" t="n"/>
      <c r="W264" s="15">
        <f>IF(P264="Production",IF(X264="Yes","Released","Review release"),IF(P264="Rolled back","Rolled back",IF(OR(Q264&lt;&gt;"",COUNTIFS(J264:N264,"Blocked")&gt;0),"Blocked",IF(OR(M264="Failed",N264="Rejected",AND(ISNUMBER(O264),O264&gt;0)),"Rework",IF(X264="Yes","Ready for release",IF(N264="Accepted","Verify completion",IF(OR(M264="Passed",M264="In progress",N264="In review"),"Testing / review",IF(OR(COUNTIFS(J264:L264,"In progress")&gt;0,COUNTIFS(J264:L264,"In review")&gt;0,COUNTIFS(J264:L264,"Done")&gt;0),"In progress",IF(COUNTIFS(J264:N264,"Not assessed")=5,"Not assessed","Planned")))))))))</f>
        <v/>
      </c>
      <c r="X264" s="15">
        <f>IF(AND(J264="Done",OR(K264="Done",K264="Not required"),OR(L264="Done",L264="Not required"),M264="Passed",N264="Accepted",ISNUMBER(O264),O264=0,Q264="",F264&lt;&gt;"",S264&lt;&gt;"",T264&lt;&gt;"",ISNUMBER(U264),OR(AND(K264&lt;&gt;"Not required",L264&lt;&gt;"Not required"),V264&lt;&gt;""),P264&lt;&gt;"Rolled back"),"Yes","No")</f>
        <v/>
      </c>
      <c r="Y264" s="15">
        <f>IF(X264="Yes","Completed",IF(H264="","No deadline",IF(NOT(ISNUMBER(H264)),"Check date",IF(H264&lt;Overview!$I$3,"Overdue",IF(H264&lt;=Overview!$I$3+7,"Due soon","On track")))))</f>
        <v/>
      </c>
      <c r="Z264" s="37">
        <f>IF(AND(X264&lt;&gt;"Yes",ISNUMBER(H264)),MAX(0,Overview!$I$3-H264),0)</f>
        <v/>
      </c>
      <c r="AA264" s="5" t="inlineStr">
        <is>
          <t>HR</t>
        </is>
      </c>
      <c r="AB264" t="inlineStr">
        <is>
          <t>/school/documents/staff</t>
        </is>
      </c>
    </row>
    <row r="265" ht="35" customHeight="1">
      <c r="A265" s="2" t="inlineStr">
        <is>
          <t>SCR-259</t>
        </is>
      </c>
      <c r="B265" s="5" t="inlineStr">
        <is>
          <t>Upload &amp; Verification</t>
        </is>
      </c>
      <c r="C265" s="5" t="inlineStr">
        <is>
          <t>Documents &amp; Certificates</t>
        </is>
      </c>
      <c r="D265" s="2" t="inlineStr">
        <is>
          <t>Phase 2</t>
        </is>
      </c>
      <c r="E265" s="2" t="inlineStr">
        <is>
          <t>US-0517, US-0518</t>
        </is>
      </c>
      <c r="F265" s="24" t="n"/>
      <c r="G265" s="24" t="n"/>
      <c r="H265" s="32" t="n"/>
      <c r="I265" s="2" t="inlineStr">
        <is>
          <t>Ready</t>
        </is>
      </c>
      <c r="J265" s="33" t="inlineStr">
        <is>
          <t>Done</t>
        </is>
      </c>
      <c r="K265" s="33" t="inlineStr">
        <is>
          <t>Done</t>
        </is>
      </c>
      <c r="L265" s="24" t="inlineStr">
        <is>
          <t>Not assessed</t>
        </is>
      </c>
      <c r="M265" s="24" t="inlineStr">
        <is>
          <t>Not assessed</t>
        </is>
      </c>
      <c r="N265" s="24" t="inlineStr">
        <is>
          <t>Not assessed</t>
        </is>
      </c>
      <c r="O265" s="35" t="n"/>
      <c r="P265" s="24" t="inlineStr">
        <is>
          <t>Not scheduled</t>
        </is>
      </c>
      <c r="Q265" s="24" t="n"/>
      <c r="R265" s="24" t="inlineStr">
        <is>
          <t>Upload, verify, reject with reason</t>
        </is>
      </c>
      <c r="S265" s="24" t="n"/>
      <c r="T265" s="24" t="n"/>
      <c r="U265" s="36" t="n">
        <v>46285</v>
      </c>
      <c r="V265" s="24" t="n"/>
      <c r="W265" s="15">
        <f>IF(P265="Production",IF(X265="Yes","Released","Review release"),IF(P265="Rolled back","Rolled back",IF(OR(Q265&lt;&gt;"",COUNTIFS(J265:N265,"Blocked")&gt;0),"Blocked",IF(OR(M265="Failed",N265="Rejected",AND(ISNUMBER(O265),O265&gt;0)),"Rework",IF(X265="Yes","Ready for release",IF(N265="Accepted","Verify completion",IF(OR(M265="Passed",M265="In progress",N265="In review"),"Testing / review",IF(OR(COUNTIFS(J265:L265,"In progress")&gt;0,COUNTIFS(J265:L265,"In review")&gt;0,COUNTIFS(J265:L265,"Done")&gt;0),"In progress",IF(COUNTIFS(J265:N265,"Not assessed")=5,"Not assessed","Planned")))))))))</f>
        <v/>
      </c>
      <c r="X265" s="15">
        <f>IF(AND(J265="Done",OR(K265="Done",K265="Not required"),OR(L265="Done",L265="Not required"),M265="Passed",N265="Accepted",ISNUMBER(O265),O265=0,Q265="",F265&lt;&gt;"",S265&lt;&gt;"",T265&lt;&gt;"",ISNUMBER(U265),OR(AND(K265&lt;&gt;"Not required",L265&lt;&gt;"Not required"),V265&lt;&gt;""),P265&lt;&gt;"Rolled back"),"Yes","No")</f>
        <v/>
      </c>
      <c r="Y265" s="15">
        <f>IF(X265="Yes","Completed",IF(H265="","No deadline",IF(NOT(ISNUMBER(H265)),"Check date",IF(H265&lt;Overview!$I$3,"Overdue",IF(H265&lt;=Overview!$I$3+7,"Due soon","On track")))))</f>
        <v/>
      </c>
      <c r="Z265" s="37">
        <f>IF(AND(X265&lt;&gt;"Yes",ISNUMBER(H265)),MAX(0,Overview!$I$3-H265),0)</f>
        <v/>
      </c>
      <c r="AA265" s="5" t="inlineStr">
        <is>
          <t>School Admin</t>
        </is>
      </c>
      <c r="AB265" t="inlineStr">
        <is>
          <t>/school/documents</t>
        </is>
      </c>
    </row>
    <row r="266" ht="35" customHeight="1">
      <c r="A266" s="2" t="inlineStr">
        <is>
          <t>SCR-260</t>
        </is>
      </c>
      <c r="B266" s="5" t="inlineStr">
        <is>
          <t>Certificate Templates</t>
        </is>
      </c>
      <c r="C266" s="5" t="inlineStr">
        <is>
          <t>Documents &amp; Certificates</t>
        </is>
      </c>
      <c r="D266" s="2" t="inlineStr">
        <is>
          <t>Phase 2</t>
        </is>
      </c>
      <c r="E266" s="2" t="inlineStr">
        <is>
          <t>US-0519, US-0520</t>
        </is>
      </c>
      <c r="F266" s="24" t="n"/>
      <c r="G266" s="24" t="n"/>
      <c r="H266" s="32" t="n"/>
      <c r="I266" s="2" t="inlineStr">
        <is>
          <t>Ready</t>
        </is>
      </c>
      <c r="J266" s="33" t="inlineStr">
        <is>
          <t>Done</t>
        </is>
      </c>
      <c r="K266" s="33" t="inlineStr">
        <is>
          <t>Done</t>
        </is>
      </c>
      <c r="L266" s="24" t="inlineStr">
        <is>
          <t>Not assessed</t>
        </is>
      </c>
      <c r="M266" s="24" t="inlineStr">
        <is>
          <t>Not assessed</t>
        </is>
      </c>
      <c r="N266" s="24" t="inlineStr">
        <is>
          <t>Not assessed</t>
        </is>
      </c>
      <c r="O266" s="35" t="n"/>
      <c r="P266" s="24" t="inlineStr">
        <is>
          <t>Not scheduled</t>
        </is>
      </c>
      <c r="Q266" s="24" t="n"/>
      <c r="R266" s="24" t="inlineStr">
        <is>
          <t>Six kinds with placeholders and serials</t>
        </is>
      </c>
      <c r="S266" s="24" t="n"/>
      <c r="T266" s="24" t="n"/>
      <c r="U266" s="36" t="n">
        <v>46285</v>
      </c>
      <c r="V266" s="24" t="n"/>
      <c r="W266" s="15">
        <f>IF(P266="Production",IF(X266="Yes","Released","Review release"),IF(P266="Rolled back","Rolled back",IF(OR(Q266&lt;&gt;"",COUNTIFS(J266:N266,"Blocked")&gt;0),"Blocked",IF(OR(M266="Failed",N266="Rejected",AND(ISNUMBER(O266),O266&gt;0)),"Rework",IF(X266="Yes","Ready for release",IF(N266="Accepted","Verify completion",IF(OR(M266="Passed",M266="In progress",N266="In review"),"Testing / review",IF(OR(COUNTIFS(J266:L266,"In progress")&gt;0,COUNTIFS(J266:L266,"In review")&gt;0,COUNTIFS(J266:L266,"Done")&gt;0),"In progress",IF(COUNTIFS(J266:N266,"Not assessed")=5,"Not assessed","Planned")))))))))</f>
        <v/>
      </c>
      <c r="X266" s="15">
        <f>IF(AND(J266="Done",OR(K266="Done",K266="Not required"),OR(L266="Done",L266="Not required"),M266="Passed",N266="Accepted",ISNUMBER(O266),O266=0,Q266="",F266&lt;&gt;"",S266&lt;&gt;"",T266&lt;&gt;"",ISNUMBER(U266),OR(AND(K266&lt;&gt;"Not required",L266&lt;&gt;"Not required"),V266&lt;&gt;""),P266&lt;&gt;"Rolled back"),"Yes","No")</f>
        <v/>
      </c>
      <c r="Y266" s="15">
        <f>IF(X266="Yes","Completed",IF(H266="","No deadline",IF(NOT(ISNUMBER(H266)),"Check date",IF(H266&lt;Overview!$I$3,"Overdue",IF(H266&lt;=Overview!$I$3+7,"Due soon","On track")))))</f>
        <v/>
      </c>
      <c r="Z266" s="37">
        <f>IF(AND(X266&lt;&gt;"Yes",ISNUMBER(H266)),MAX(0,Overview!$I$3-H266),0)</f>
        <v/>
      </c>
      <c r="AA266" s="5" t="inlineStr">
        <is>
          <t>School Admin</t>
        </is>
      </c>
      <c r="AB266" t="inlineStr">
        <is>
          <t>/school/certificates/templates</t>
        </is>
      </c>
    </row>
    <row r="267" ht="35" customHeight="1">
      <c r="A267" s="2" t="inlineStr">
        <is>
          <t>SCR-261</t>
        </is>
      </c>
      <c r="B267" s="5" t="inlineStr">
        <is>
          <t>Generate Certificate</t>
        </is>
      </c>
      <c r="C267" s="5" t="inlineStr">
        <is>
          <t>Documents &amp; Certificates</t>
        </is>
      </c>
      <c r="D267" s="2" t="inlineStr">
        <is>
          <t>Phase 3</t>
        </is>
      </c>
      <c r="E267" s="2" t="inlineStr">
        <is>
          <t>US-0521, US-0522</t>
        </is>
      </c>
      <c r="F267" s="24" t="n"/>
      <c r="G267" s="24" t="n"/>
      <c r="H267" s="32" t="n"/>
      <c r="I267" s="2" t="inlineStr">
        <is>
          <t>Ready</t>
        </is>
      </c>
      <c r="J267" s="33" t="inlineStr">
        <is>
          <t>Done</t>
        </is>
      </c>
      <c r="K267" s="33" t="inlineStr">
        <is>
          <t>Done</t>
        </is>
      </c>
      <c r="L267" s="24" t="inlineStr">
        <is>
          <t>Not assessed</t>
        </is>
      </c>
      <c r="M267" s="24" t="inlineStr">
        <is>
          <t>Not assessed</t>
        </is>
      </c>
      <c r="N267" s="24" t="inlineStr">
        <is>
          <t>Not assessed</t>
        </is>
      </c>
      <c r="O267" s="35" t="n"/>
      <c r="P267" s="24" t="inlineStr">
        <is>
          <t>Not scheduled</t>
        </is>
      </c>
      <c r="Q267" s="24" t="n"/>
      <c r="R267" s="24" t="inlineStr">
        <is>
          <t>Template and student with live preview</t>
        </is>
      </c>
      <c r="S267" s="24" t="n"/>
      <c r="T267" s="24" t="n"/>
      <c r="U267" s="36" t="n">
        <v>46285</v>
      </c>
      <c r="V267" s="24" t="n"/>
      <c r="W267" s="15">
        <f>IF(P267="Production",IF(X267="Yes","Released","Review release"),IF(P267="Rolled back","Rolled back",IF(OR(Q267&lt;&gt;"",COUNTIFS(J267:N267,"Blocked")&gt;0),"Blocked",IF(OR(M267="Failed",N267="Rejected",AND(ISNUMBER(O267),O267&gt;0)),"Rework",IF(X267="Yes","Ready for release",IF(N267="Accepted","Verify completion",IF(OR(M267="Passed",M267="In progress",N267="In review"),"Testing / review",IF(OR(COUNTIFS(J267:L267,"In progress")&gt;0,COUNTIFS(J267:L267,"In review")&gt;0,COUNTIFS(J267:L267,"Done")&gt;0),"In progress",IF(COUNTIFS(J267:N267,"Not assessed")=5,"Not assessed","Planned")))))))))</f>
        <v/>
      </c>
      <c r="X267" s="15">
        <f>IF(AND(J267="Done",OR(K267="Done",K267="Not required"),OR(L267="Done",L267="Not required"),M267="Passed",N267="Accepted",ISNUMBER(O267),O267=0,Q267="",F267&lt;&gt;"",S267&lt;&gt;"",T267&lt;&gt;"",ISNUMBER(U267),OR(AND(K267&lt;&gt;"Not required",L267&lt;&gt;"Not required"),V267&lt;&gt;""),P267&lt;&gt;"Rolled back"),"Yes","No")</f>
        <v/>
      </c>
      <c r="Y267" s="15">
        <f>IF(X267="Yes","Completed",IF(H267="","No deadline",IF(NOT(ISNUMBER(H267)),"Check date",IF(H267&lt;Overview!$I$3,"Overdue",IF(H267&lt;=Overview!$I$3+7,"Due soon","On track")))))</f>
        <v/>
      </c>
      <c r="Z267" s="37">
        <f>IF(AND(X267&lt;&gt;"Yes",ISNUMBER(H267)),MAX(0,Overview!$I$3-H267),0)</f>
        <v/>
      </c>
      <c r="AA267" s="5" t="inlineStr">
        <is>
          <t>School Admin</t>
        </is>
      </c>
      <c r="AB267" t="inlineStr">
        <is>
          <t>/school/certificates</t>
        </is>
      </c>
    </row>
    <row r="268" ht="35" customHeight="1">
      <c r="A268" s="2" t="inlineStr">
        <is>
          <t>SCR-262</t>
        </is>
      </c>
      <c r="B268" s="5" t="inlineStr">
        <is>
          <t>Transfer Certificate</t>
        </is>
      </c>
      <c r="C268" s="5" t="inlineStr">
        <is>
          <t>Documents &amp; Certificates</t>
        </is>
      </c>
      <c r="D268" s="2" t="inlineStr">
        <is>
          <t>Phase 3</t>
        </is>
      </c>
      <c r="E268" s="2" t="inlineStr">
        <is>
          <t>US-0523, US-0524</t>
        </is>
      </c>
      <c r="F268" s="24" t="n"/>
      <c r="G268" s="24" t="n"/>
      <c r="H268" s="32" t="n"/>
      <c r="I268" s="2" t="inlineStr">
        <is>
          <t>Ready</t>
        </is>
      </c>
      <c r="J268" s="33" t="inlineStr">
        <is>
          <t>Done</t>
        </is>
      </c>
      <c r="K268" s="33" t="inlineStr">
        <is>
          <t>Done</t>
        </is>
      </c>
      <c r="L268" s="24" t="inlineStr">
        <is>
          <t>Not assessed</t>
        </is>
      </c>
      <c r="M268" s="24" t="inlineStr">
        <is>
          <t>Not assessed</t>
        </is>
      </c>
      <c r="N268" s="24" t="inlineStr">
        <is>
          <t>Not assessed</t>
        </is>
      </c>
      <c r="O268" s="35" t="n"/>
      <c r="P268" s="24" t="inlineStr">
        <is>
          <t>Not scheduled</t>
        </is>
      </c>
      <c r="Q268" s="24" t="n"/>
      <c r="R268" s="24" t="inlineStr">
        <is>
          <t>Leaving date, conduct, dues check</t>
        </is>
      </c>
      <c r="S268" s="24" t="n"/>
      <c r="T268" s="24" t="n"/>
      <c r="U268" s="36" t="n">
        <v>46285</v>
      </c>
      <c r="V268" s="24" t="n"/>
      <c r="W268" s="15">
        <f>IF(P268="Production",IF(X268="Yes","Released","Review release"),IF(P268="Rolled back","Rolled back",IF(OR(Q268&lt;&gt;"",COUNTIFS(J268:N268,"Blocked")&gt;0),"Blocked",IF(OR(M268="Failed",N268="Rejected",AND(ISNUMBER(O268),O268&gt;0)),"Rework",IF(X268="Yes","Ready for release",IF(N268="Accepted","Verify completion",IF(OR(M268="Passed",M268="In progress",N268="In review"),"Testing / review",IF(OR(COUNTIFS(J268:L268,"In progress")&gt;0,COUNTIFS(J268:L268,"In review")&gt;0,COUNTIFS(J268:L268,"Done")&gt;0),"In progress",IF(COUNTIFS(J268:N268,"Not assessed")=5,"Not assessed","Planned")))))))))</f>
        <v/>
      </c>
      <c r="X268" s="15">
        <f>IF(AND(J268="Done",OR(K268="Done",K268="Not required"),OR(L268="Done",L268="Not required"),M268="Passed",N268="Accepted",ISNUMBER(O268),O268=0,Q268="",F268&lt;&gt;"",S268&lt;&gt;"",T268&lt;&gt;"",ISNUMBER(U268),OR(AND(K268&lt;&gt;"Not required",L268&lt;&gt;"Not required"),V268&lt;&gt;""),P268&lt;&gt;"Rolled back"),"Yes","No")</f>
        <v/>
      </c>
      <c r="Y268" s="15">
        <f>IF(X268="Yes","Completed",IF(H268="","No deadline",IF(NOT(ISNUMBER(H268)),"Check date",IF(H268&lt;Overview!$I$3,"Overdue",IF(H268&lt;=Overview!$I$3+7,"Due soon","On track")))))</f>
        <v/>
      </c>
      <c r="Z268" s="37">
        <f>IF(AND(X268&lt;&gt;"Yes",ISNUMBER(H268)),MAX(0,Overview!$I$3-H268),0)</f>
        <v/>
      </c>
      <c r="AA268" s="5" t="inlineStr">
        <is>
          <t>School Admin</t>
        </is>
      </c>
      <c r="AB268" t="inlineStr">
        <is>
          <t>/school/certificates</t>
        </is>
      </c>
    </row>
    <row r="269" ht="35" customHeight="1">
      <c r="A269" s="2" t="inlineStr">
        <is>
          <t>SCR-263</t>
        </is>
      </c>
      <c r="B269" s="5" t="inlineStr">
        <is>
          <t>Certificate Register</t>
        </is>
      </c>
      <c r="C269" s="5" t="inlineStr">
        <is>
          <t>Documents &amp; Certificates</t>
        </is>
      </c>
      <c r="D269" s="2" t="inlineStr">
        <is>
          <t>Phase 3</t>
        </is>
      </c>
      <c r="E269" s="2" t="inlineStr">
        <is>
          <t>US-0525, US-0526</t>
        </is>
      </c>
      <c r="F269" s="24" t="n"/>
      <c r="G269" s="24" t="n"/>
      <c r="H269" s="32" t="n"/>
      <c r="I269" s="2" t="inlineStr">
        <is>
          <t>Ready</t>
        </is>
      </c>
      <c r="J269" s="33" t="inlineStr">
        <is>
          <t>Done</t>
        </is>
      </c>
      <c r="K269" s="33" t="inlineStr">
        <is>
          <t>Done</t>
        </is>
      </c>
      <c r="L269" s="24" t="inlineStr">
        <is>
          <t>Not assessed</t>
        </is>
      </c>
      <c r="M269" s="24" t="inlineStr">
        <is>
          <t>Not assessed</t>
        </is>
      </c>
      <c r="N269" s="24" t="inlineStr">
        <is>
          <t>Not assessed</t>
        </is>
      </c>
      <c r="O269" s="35" t="n"/>
      <c r="P269" s="24" t="inlineStr">
        <is>
          <t>Not scheduled</t>
        </is>
      </c>
      <c r="Q269" s="24" t="n"/>
      <c r="R269" s="24" t="inlineStr">
        <is>
          <t>Serial, status, reprints, cancel</t>
        </is>
      </c>
      <c r="S269" s="24" t="n"/>
      <c r="T269" s="24" t="n"/>
      <c r="U269" s="36" t="n">
        <v>46285</v>
      </c>
      <c r="V269" s="24" t="n"/>
      <c r="W269" s="15">
        <f>IF(P269="Production",IF(X269="Yes","Released","Review release"),IF(P269="Rolled back","Rolled back",IF(OR(Q269&lt;&gt;"",COUNTIFS(J269:N269,"Blocked")&gt;0),"Blocked",IF(OR(M269="Failed",N269="Rejected",AND(ISNUMBER(O269),O269&gt;0)),"Rework",IF(X269="Yes","Ready for release",IF(N269="Accepted","Verify completion",IF(OR(M269="Passed",M269="In progress",N269="In review"),"Testing / review",IF(OR(COUNTIFS(J269:L269,"In progress")&gt;0,COUNTIFS(J269:L269,"In review")&gt;0,COUNTIFS(J269:L269,"Done")&gt;0),"In progress",IF(COUNTIFS(J269:N269,"Not assessed")=5,"Not assessed","Planned")))))))))</f>
        <v/>
      </c>
      <c r="X269" s="15">
        <f>IF(AND(J269="Done",OR(K269="Done",K269="Not required"),OR(L269="Done",L269="Not required"),M269="Passed",N269="Accepted",ISNUMBER(O269),O269=0,Q269="",F269&lt;&gt;"",S269&lt;&gt;"",T269&lt;&gt;"",ISNUMBER(U269),OR(AND(K269&lt;&gt;"Not required",L269&lt;&gt;"Not required"),V269&lt;&gt;""),P269&lt;&gt;"Rolled back"),"Yes","No")</f>
        <v/>
      </c>
      <c r="Y269" s="15">
        <f>IF(X269="Yes","Completed",IF(H269="","No deadline",IF(NOT(ISNUMBER(H269)),"Check date",IF(H269&lt;Overview!$I$3,"Overdue",IF(H269&lt;=Overview!$I$3+7,"Due soon","On track")))))</f>
        <v/>
      </c>
      <c r="Z269" s="37">
        <f>IF(AND(X269&lt;&gt;"Yes",ISNUMBER(H269)),MAX(0,Overview!$I$3-H269),0)</f>
        <v/>
      </c>
      <c r="AA269" s="5" t="inlineStr">
        <is>
          <t>School Admin</t>
        </is>
      </c>
      <c r="AB269" t="inlineStr">
        <is>
          <t>/school/certificates</t>
        </is>
      </c>
    </row>
    <row r="270" ht="35" customHeight="1">
      <c r="A270" s="2" t="inlineStr">
        <is>
          <t>SCR-264</t>
        </is>
      </c>
      <c r="B270" s="5" t="inlineStr">
        <is>
          <t>Executive Analytics Dashboard</t>
        </is>
      </c>
      <c r="C270" s="5" t="inlineStr">
        <is>
          <t>Reports &amp; Analytics</t>
        </is>
      </c>
      <c r="D270" s="2" t="inlineStr">
        <is>
          <t>MVP</t>
        </is>
      </c>
      <c r="E270" s="2" t="inlineStr">
        <is>
          <t>US-0527, US-0528</t>
        </is>
      </c>
      <c r="F270" s="24" t="n"/>
      <c r="G270" s="24" t="n"/>
      <c r="H270" s="32" t="n"/>
      <c r="I270" s="2" t="inlineStr">
        <is>
          <t>Ready</t>
        </is>
      </c>
      <c r="J270" s="33" t="inlineStr">
        <is>
          <t>Done</t>
        </is>
      </c>
      <c r="K270" s="33" t="inlineStr">
        <is>
          <t>Done</t>
        </is>
      </c>
      <c r="L270" s="24" t="inlineStr">
        <is>
          <t>Not assessed</t>
        </is>
      </c>
      <c r="M270" s="24" t="inlineStr">
        <is>
          <t>Not assessed</t>
        </is>
      </c>
      <c r="N270" s="24" t="inlineStr">
        <is>
          <t>Not assessed</t>
        </is>
      </c>
      <c r="O270" s="35" t="n"/>
      <c r="P270" s="24" t="inlineStr">
        <is>
          <t>Not scheduled</t>
        </is>
      </c>
      <c r="Q270" s="24" t="n"/>
      <c r="R270" s="24" t="inlineStr">
        <is>
          <t>Headline tiles plus attendance and money trends, and the index of every report</t>
        </is>
      </c>
      <c r="S270" s="24" t="n"/>
      <c r="T270" s="24" t="n"/>
      <c r="U270" s="36" t="n">
        <v>46285</v>
      </c>
      <c r="V270" s="24" t="n"/>
      <c r="W270" s="15">
        <f>IF(P270="Production",IF(X270="Yes","Released","Review release"),IF(P270="Rolled back","Rolled back",IF(OR(Q270&lt;&gt;"",COUNTIFS(J270:N270,"Blocked")&gt;0),"Blocked",IF(OR(M270="Failed",N270="Rejected",AND(ISNUMBER(O270),O270&gt;0)),"Rework",IF(X270="Yes","Ready for release",IF(N270="Accepted","Verify completion",IF(OR(M270="Passed",M270="In progress",N270="In review"),"Testing / review",IF(OR(COUNTIFS(J270:L270,"In progress")&gt;0,COUNTIFS(J270:L270,"In review")&gt;0,COUNTIFS(J270:L270,"Done")&gt;0),"In progress",IF(COUNTIFS(J270:N270,"Not assessed")=5,"Not assessed","Planned")))))))))</f>
        <v/>
      </c>
      <c r="X270" s="15">
        <f>IF(AND(J270="Done",OR(K270="Done",K270="Not required"),OR(L270="Done",L270="Not required"),M270="Passed",N270="Accepted",ISNUMBER(O270),O270=0,Q270="",F270&lt;&gt;"",S270&lt;&gt;"",T270&lt;&gt;"",ISNUMBER(U270),OR(AND(K270&lt;&gt;"Not required",L270&lt;&gt;"Not required"),V270&lt;&gt;""),P270&lt;&gt;"Rolled back"),"Yes","No")</f>
        <v/>
      </c>
      <c r="Y270" s="15">
        <f>IF(X270="Yes","Completed",IF(H270="","No deadline",IF(NOT(ISNUMBER(H270)),"Check date",IF(H270&lt;Overview!$I$3,"Overdue",IF(H270&lt;=Overview!$I$3+7,"Due soon","On track")))))</f>
        <v/>
      </c>
      <c r="Z270" s="37">
        <f>IF(AND(X270&lt;&gt;"Yes",ISNUMBER(H270)),MAX(0,Overview!$I$3-H270),0)</f>
        <v/>
      </c>
      <c r="AA270" s="5" t="inlineStr">
        <is>
          <t>School Admin</t>
        </is>
      </c>
      <c r="AB270" t="inlineStr">
        <is>
          <t>/school/reports</t>
        </is>
      </c>
    </row>
    <row r="271" ht="35" customHeight="1">
      <c r="A271" s="2" t="inlineStr">
        <is>
          <t>SCR-265</t>
        </is>
      </c>
      <c r="B271" s="5" t="inlineStr">
        <is>
          <t>Admission Reports</t>
        </is>
      </c>
      <c r="C271" s="5" t="inlineStr">
        <is>
          <t>Reports &amp; Analytics</t>
        </is>
      </c>
      <c r="D271" s="2" t="inlineStr">
        <is>
          <t>MVP</t>
        </is>
      </c>
      <c r="E271" s="2" t="inlineStr">
        <is>
          <t>US-0529, US-0530</t>
        </is>
      </c>
      <c r="F271" s="24" t="n"/>
      <c r="G271" s="24" t="n"/>
      <c r="H271" s="32" t="n"/>
      <c r="I271" s="2" t="inlineStr">
        <is>
          <t>Ready</t>
        </is>
      </c>
      <c r="J271" s="33" t="inlineStr">
        <is>
          <t>Done</t>
        </is>
      </c>
      <c r="K271" s="33" t="inlineStr">
        <is>
          <t>Done</t>
        </is>
      </c>
      <c r="L271" s="24" t="inlineStr">
        <is>
          <t>Not assessed</t>
        </is>
      </c>
      <c r="M271" s="24" t="inlineStr">
        <is>
          <t>Not assessed</t>
        </is>
      </c>
      <c r="N271" s="24" t="inlineStr">
        <is>
          <t>Not assessed</t>
        </is>
      </c>
      <c r="O271" s="35" t="n"/>
      <c r="P271" s="24" t="inlineStr">
        <is>
          <t>Not scheduled</t>
        </is>
      </c>
      <c r="Q271" s="24" t="n"/>
      <c r="R271" s="24" t="inlineStr">
        <is>
          <t>Funnel by stage with conversion rate</t>
        </is>
      </c>
      <c r="S271" s="24" t="n"/>
      <c r="T271" s="24" t="n"/>
      <c r="U271" s="36" t="n">
        <v>46285</v>
      </c>
      <c r="V271" s="24" t="n"/>
      <c r="W271" s="15">
        <f>IF(P271="Production",IF(X271="Yes","Released","Review release"),IF(P271="Rolled back","Rolled back",IF(OR(Q271&lt;&gt;"",COUNTIFS(J271:N271,"Blocked")&gt;0),"Blocked",IF(OR(M271="Failed",N271="Rejected",AND(ISNUMBER(O271),O271&gt;0)),"Rework",IF(X271="Yes","Ready for release",IF(N271="Accepted","Verify completion",IF(OR(M271="Passed",M271="In progress",N271="In review"),"Testing / review",IF(OR(COUNTIFS(J271:L271,"In progress")&gt;0,COUNTIFS(J271:L271,"In review")&gt;0,COUNTIFS(J271:L271,"Done")&gt;0),"In progress",IF(COUNTIFS(J271:N271,"Not assessed")=5,"Not assessed","Planned")))))))))</f>
        <v/>
      </c>
      <c r="X271" s="15">
        <f>IF(AND(J271="Done",OR(K271="Done",K271="Not required"),OR(L271="Done",L271="Not required"),M271="Passed",N271="Accepted",ISNUMBER(O271),O271=0,Q271="",F271&lt;&gt;"",S271&lt;&gt;"",T271&lt;&gt;"",ISNUMBER(U271),OR(AND(K271&lt;&gt;"Not required",L271&lt;&gt;"Not required"),V271&lt;&gt;""),P271&lt;&gt;"Rolled back"),"Yes","No")</f>
        <v/>
      </c>
      <c r="Y271" s="15">
        <f>IF(X271="Yes","Completed",IF(H271="","No deadline",IF(NOT(ISNUMBER(H271)),"Check date",IF(H271&lt;Overview!$I$3,"Overdue",IF(H271&lt;=Overview!$I$3+7,"Due soon","On track")))))</f>
        <v/>
      </c>
      <c r="Z271" s="37">
        <f>IF(AND(X271&lt;&gt;"Yes",ISNUMBER(H271)),MAX(0,Overview!$I$3-H271),0)</f>
        <v/>
      </c>
      <c r="AA271" s="5" t="inlineStr">
        <is>
          <t>School Admin</t>
        </is>
      </c>
      <c r="AB271" t="inlineStr">
        <is>
          <t>/school/reports/admissions</t>
        </is>
      </c>
    </row>
    <row r="272" ht="35" customHeight="1">
      <c r="A272" s="2" t="inlineStr">
        <is>
          <t>SCR-266</t>
        </is>
      </c>
      <c r="B272" s="5" t="inlineStr">
        <is>
          <t>Student Strength Report</t>
        </is>
      </c>
      <c r="C272" s="5" t="inlineStr">
        <is>
          <t>Reports &amp; Analytics</t>
        </is>
      </c>
      <c r="D272" s="2" t="inlineStr">
        <is>
          <t>MVP</t>
        </is>
      </c>
      <c r="E272" s="2" t="inlineStr">
        <is>
          <t>US-0531, US-0532</t>
        </is>
      </c>
      <c r="F272" s="24" t="n"/>
      <c r="G272" s="24" t="n"/>
      <c r="H272" s="32" t="n"/>
      <c r="I272" s="2" t="inlineStr">
        <is>
          <t>Ready</t>
        </is>
      </c>
      <c r="J272" s="33" t="inlineStr">
        <is>
          <t>Done</t>
        </is>
      </c>
      <c r="K272" s="33" t="inlineStr">
        <is>
          <t>Done</t>
        </is>
      </c>
      <c r="L272" s="24" t="inlineStr">
        <is>
          <t>Not assessed</t>
        </is>
      </c>
      <c r="M272" s="24" t="inlineStr">
        <is>
          <t>Not assessed</t>
        </is>
      </c>
      <c r="N272" s="24" t="inlineStr">
        <is>
          <t>Not assessed</t>
        </is>
      </c>
      <c r="O272" s="35" t="n"/>
      <c r="P272" s="24" t="inlineStr">
        <is>
          <t>Not scheduled</t>
        </is>
      </c>
      <c r="Q272" s="24" t="n"/>
      <c r="R272" s="24" t="inlineStr">
        <is>
          <t>Class, section and capacity, with year on year</t>
        </is>
      </c>
      <c r="S272" s="24" t="n"/>
      <c r="T272" s="24" t="n"/>
      <c r="U272" s="36" t="n">
        <v>46285</v>
      </c>
      <c r="V272" s="24" t="n"/>
      <c r="W272" s="15">
        <f>IF(P272="Production",IF(X272="Yes","Released","Review release"),IF(P272="Rolled back","Rolled back",IF(OR(Q272&lt;&gt;"",COUNTIFS(J272:N272,"Blocked")&gt;0),"Blocked",IF(OR(M272="Failed",N272="Rejected",AND(ISNUMBER(O272),O272&gt;0)),"Rework",IF(X272="Yes","Ready for release",IF(N272="Accepted","Verify completion",IF(OR(M272="Passed",M272="In progress",N272="In review"),"Testing / review",IF(OR(COUNTIFS(J272:L272,"In progress")&gt;0,COUNTIFS(J272:L272,"In review")&gt;0,COUNTIFS(J272:L272,"Done")&gt;0),"In progress",IF(COUNTIFS(J272:N272,"Not assessed")=5,"Not assessed","Planned")))))))))</f>
        <v/>
      </c>
      <c r="X272" s="15">
        <f>IF(AND(J272="Done",OR(K272="Done",K272="Not required"),OR(L272="Done",L272="Not required"),M272="Passed",N272="Accepted",ISNUMBER(O272),O272=0,Q272="",F272&lt;&gt;"",S272&lt;&gt;"",T272&lt;&gt;"",ISNUMBER(U272),OR(AND(K272&lt;&gt;"Not required",L272&lt;&gt;"Not required"),V272&lt;&gt;""),P272&lt;&gt;"Rolled back"),"Yes","No")</f>
        <v/>
      </c>
      <c r="Y272" s="15">
        <f>IF(X272="Yes","Completed",IF(H272="","No deadline",IF(NOT(ISNUMBER(H272)),"Check date",IF(H272&lt;Overview!$I$3,"Overdue",IF(H272&lt;=Overview!$I$3+7,"Due soon","On track")))))</f>
        <v/>
      </c>
      <c r="Z272" s="37">
        <f>IF(AND(X272&lt;&gt;"Yes",ISNUMBER(H272)),MAX(0,Overview!$I$3-H272),0)</f>
        <v/>
      </c>
      <c r="AA272" s="5" t="inlineStr">
        <is>
          <t>School Admin</t>
        </is>
      </c>
      <c r="AB272" t="inlineStr">
        <is>
          <t>/school/reports/strength</t>
        </is>
      </c>
    </row>
    <row r="273" ht="35" customHeight="1">
      <c r="A273" s="2" t="inlineStr">
        <is>
          <t>SCR-267</t>
        </is>
      </c>
      <c r="B273" s="5" t="inlineStr">
        <is>
          <t>Student Demographics</t>
        </is>
      </c>
      <c r="C273" s="5" t="inlineStr">
        <is>
          <t>Reports &amp; Analytics</t>
        </is>
      </c>
      <c r="D273" s="2" t="inlineStr">
        <is>
          <t>MVP</t>
        </is>
      </c>
      <c r="E273" s="2" t="inlineStr">
        <is>
          <t>US-0533, US-0534</t>
        </is>
      </c>
      <c r="F273" s="24" t="n"/>
      <c r="G273" s="24" t="n"/>
      <c r="H273" s="32" t="n"/>
      <c r="I273" s="2" t="inlineStr">
        <is>
          <t>Ready</t>
        </is>
      </c>
      <c r="J273" s="33" t="inlineStr">
        <is>
          <t>Done</t>
        </is>
      </c>
      <c r="K273" s="33" t="inlineStr">
        <is>
          <t>Done</t>
        </is>
      </c>
      <c r="L273" s="24" t="inlineStr">
        <is>
          <t>Not assessed</t>
        </is>
      </c>
      <c r="M273" s="24" t="inlineStr">
        <is>
          <t>Not assessed</t>
        </is>
      </c>
      <c r="N273" s="24" t="inlineStr">
        <is>
          <t>Not assessed</t>
        </is>
      </c>
      <c r="O273" s="35" t="n"/>
      <c r="P273" s="24" t="inlineStr">
        <is>
          <t>Not scheduled</t>
        </is>
      </c>
      <c r="Q273" s="24" t="n"/>
      <c r="R273" s="24" t="inlineStr">
        <is>
          <t>Gender, age and blood group, with how much is on file</t>
        </is>
      </c>
      <c r="S273" s="24" t="n"/>
      <c r="T273" s="24" t="n"/>
      <c r="U273" s="36" t="n">
        <v>46285</v>
      </c>
      <c r="V273" s="24" t="n"/>
      <c r="W273" s="15">
        <f>IF(P273="Production",IF(X273="Yes","Released","Review release"),IF(P273="Rolled back","Rolled back",IF(OR(Q273&lt;&gt;"",COUNTIFS(J273:N273,"Blocked")&gt;0),"Blocked",IF(OR(M273="Failed",N273="Rejected",AND(ISNUMBER(O273),O273&gt;0)),"Rework",IF(X273="Yes","Ready for release",IF(N273="Accepted","Verify completion",IF(OR(M273="Passed",M273="In progress",N273="In review"),"Testing / review",IF(OR(COUNTIFS(J273:L273,"In progress")&gt;0,COUNTIFS(J273:L273,"In review")&gt;0,COUNTIFS(J273:L273,"Done")&gt;0),"In progress",IF(COUNTIFS(J273:N273,"Not assessed")=5,"Not assessed","Planned")))))))))</f>
        <v/>
      </c>
      <c r="X273" s="15">
        <f>IF(AND(J273="Done",OR(K273="Done",K273="Not required"),OR(L273="Done",L273="Not required"),M273="Passed",N273="Accepted",ISNUMBER(O273),O273=0,Q273="",F273&lt;&gt;"",S273&lt;&gt;"",T273&lt;&gt;"",ISNUMBER(U273),OR(AND(K273&lt;&gt;"Not required",L273&lt;&gt;"Not required"),V273&lt;&gt;""),P273&lt;&gt;"Rolled back"),"Yes","No")</f>
        <v/>
      </c>
      <c r="Y273" s="15">
        <f>IF(X273="Yes","Completed",IF(H273="","No deadline",IF(NOT(ISNUMBER(H273)),"Check date",IF(H273&lt;Overview!$I$3,"Overdue",IF(H273&lt;=Overview!$I$3+7,"Due soon","On track")))))</f>
        <v/>
      </c>
      <c r="Z273" s="37">
        <f>IF(AND(X273&lt;&gt;"Yes",ISNUMBER(H273)),MAX(0,Overview!$I$3-H273),0)</f>
        <v/>
      </c>
      <c r="AA273" s="5" t="inlineStr">
        <is>
          <t>School Admin</t>
        </is>
      </c>
      <c r="AB273" t="inlineStr">
        <is>
          <t>/school/reports/demographics</t>
        </is>
      </c>
    </row>
    <row r="274" ht="35" customHeight="1">
      <c r="A274" s="2" t="inlineStr">
        <is>
          <t>SCR-268</t>
        </is>
      </c>
      <c r="B274" s="5" t="inlineStr">
        <is>
          <t>Attendance Analytics</t>
        </is>
      </c>
      <c r="C274" s="5" t="inlineStr">
        <is>
          <t>Reports &amp; Analytics</t>
        </is>
      </c>
      <c r="D274" s="2" t="inlineStr">
        <is>
          <t>Phase 2</t>
        </is>
      </c>
      <c r="E274" s="2" t="inlineStr">
        <is>
          <t>US-0535, US-0536</t>
        </is>
      </c>
      <c r="F274" s="24" t="n"/>
      <c r="G274" s="24" t="n"/>
      <c r="H274" s="32" t="n"/>
      <c r="I274" s="2" t="inlineStr">
        <is>
          <t>Ready</t>
        </is>
      </c>
      <c r="J274" s="33" t="inlineStr">
        <is>
          <t>Done</t>
        </is>
      </c>
      <c r="K274" s="33" t="inlineStr">
        <is>
          <t>Done</t>
        </is>
      </c>
      <c r="L274" s="24" t="inlineStr">
        <is>
          <t>Not assessed</t>
        </is>
      </c>
      <c r="M274" s="24" t="inlineStr">
        <is>
          <t>Not assessed</t>
        </is>
      </c>
      <c r="N274" s="24" t="inlineStr">
        <is>
          <t>Not assessed</t>
        </is>
      </c>
      <c r="O274" s="35" t="n"/>
      <c r="P274" s="24" t="inlineStr">
        <is>
          <t>Not scheduled</t>
        </is>
      </c>
      <c r="Q274" s="24" t="n"/>
      <c r="R274" s="24" t="inlineStr">
        <is>
          <t>Class and per-student percentages with CSV</t>
        </is>
      </c>
      <c r="S274" s="24" t="n"/>
      <c r="T274" s="24" t="n"/>
      <c r="U274" s="36" t="n">
        <v>46285</v>
      </c>
      <c r="V274" s="24" t="n"/>
      <c r="W274" s="15">
        <f>IF(P274="Production",IF(X274="Yes","Released","Review release"),IF(P274="Rolled back","Rolled back",IF(OR(Q274&lt;&gt;"",COUNTIFS(J274:N274,"Blocked")&gt;0),"Blocked",IF(OR(M274="Failed",N274="Rejected",AND(ISNUMBER(O274),O274&gt;0)),"Rework",IF(X274="Yes","Ready for release",IF(N274="Accepted","Verify completion",IF(OR(M274="Passed",M274="In progress",N274="In review"),"Testing / review",IF(OR(COUNTIFS(J274:L274,"In progress")&gt;0,COUNTIFS(J274:L274,"In review")&gt;0,COUNTIFS(J274:L274,"Done")&gt;0),"In progress",IF(COUNTIFS(J274:N274,"Not assessed")=5,"Not assessed","Planned")))))))))</f>
        <v/>
      </c>
      <c r="X274" s="15">
        <f>IF(AND(J274="Done",OR(K274="Done",K274="Not required"),OR(L274="Done",L274="Not required"),M274="Passed",N274="Accepted",ISNUMBER(O274),O274=0,Q274="",F274&lt;&gt;"",S274&lt;&gt;"",T274&lt;&gt;"",ISNUMBER(U274),OR(AND(K274&lt;&gt;"Not required",L274&lt;&gt;"Not required"),V274&lt;&gt;""),P274&lt;&gt;"Rolled back"),"Yes","No")</f>
        <v/>
      </c>
      <c r="Y274" s="15">
        <f>IF(X274="Yes","Completed",IF(H274="","No deadline",IF(NOT(ISNUMBER(H274)),"Check date",IF(H274&lt;Overview!$I$3,"Overdue",IF(H274&lt;=Overview!$I$3+7,"Due soon","On track")))))</f>
        <v/>
      </c>
      <c r="Z274" s="37">
        <f>IF(AND(X274&lt;&gt;"Yes",ISNUMBER(H274)),MAX(0,Overview!$I$3-H274),0)</f>
        <v/>
      </c>
      <c r="AA274" s="5" t="inlineStr">
        <is>
          <t>School Admin</t>
        </is>
      </c>
      <c r="AB274" t="inlineStr">
        <is>
          <t>/school/reports/attendance</t>
        </is>
      </c>
    </row>
    <row r="275" ht="35" customHeight="1">
      <c r="A275" s="2" t="inlineStr">
        <is>
          <t>SCR-269</t>
        </is>
      </c>
      <c r="B275" s="5" t="inlineStr">
        <is>
          <t>Chronic Absenteeism Report</t>
        </is>
      </c>
      <c r="C275" s="5" t="inlineStr">
        <is>
          <t>Reports &amp; Analytics</t>
        </is>
      </c>
      <c r="D275" s="2" t="inlineStr">
        <is>
          <t>Phase 2</t>
        </is>
      </c>
      <c r="E275" s="2" t="inlineStr">
        <is>
          <t>US-0537, US-0538</t>
        </is>
      </c>
      <c r="F275" s="24" t="n"/>
      <c r="G275" s="24" t="n"/>
      <c r="H275" s="32" t="n"/>
      <c r="I275" s="2" t="inlineStr">
        <is>
          <t>Ready</t>
        </is>
      </c>
      <c r="J275" s="33" t="inlineStr">
        <is>
          <t>Done</t>
        </is>
      </c>
      <c r="K275" s="33" t="inlineStr">
        <is>
          <t>Done</t>
        </is>
      </c>
      <c r="L275" s="24" t="inlineStr">
        <is>
          <t>Not assessed</t>
        </is>
      </c>
      <c r="M275" s="24" t="inlineStr">
        <is>
          <t>Not assessed</t>
        </is>
      </c>
      <c r="N275" s="24" t="inlineStr">
        <is>
          <t>Not assessed</t>
        </is>
      </c>
      <c r="O275" s="35" t="n"/>
      <c r="P275" s="24" t="inlineStr">
        <is>
          <t>Not scheduled</t>
        </is>
      </c>
      <c r="Q275" s="24" t="n"/>
      <c r="R275" s="24" t="inlineStr">
        <is>
          <t>School-wide, with an adjustable threshold and CSV</t>
        </is>
      </c>
      <c r="S275" s="24" t="n"/>
      <c r="T275" s="24" t="n"/>
      <c r="U275" s="36" t="n">
        <v>46285</v>
      </c>
      <c r="V275" s="24" t="n"/>
      <c r="W275" s="15">
        <f>IF(P275="Production",IF(X275="Yes","Released","Review release"),IF(P275="Rolled back","Rolled back",IF(OR(Q275&lt;&gt;"",COUNTIFS(J275:N275,"Blocked")&gt;0),"Blocked",IF(OR(M275="Failed",N275="Rejected",AND(ISNUMBER(O275),O275&gt;0)),"Rework",IF(X275="Yes","Ready for release",IF(N275="Accepted","Verify completion",IF(OR(M275="Passed",M275="In progress",N275="In review"),"Testing / review",IF(OR(COUNTIFS(J275:L275,"In progress")&gt;0,COUNTIFS(J275:L275,"In review")&gt;0,COUNTIFS(J275:L275,"Done")&gt;0),"In progress",IF(COUNTIFS(J275:N275,"Not assessed")=5,"Not assessed","Planned")))))))))</f>
        <v/>
      </c>
      <c r="X275" s="15">
        <f>IF(AND(J275="Done",OR(K275="Done",K275="Not required"),OR(L275="Done",L275="Not required"),M275="Passed",N275="Accepted",ISNUMBER(O275),O275=0,Q275="",F275&lt;&gt;"",S275&lt;&gt;"",T275&lt;&gt;"",ISNUMBER(U275),OR(AND(K275&lt;&gt;"Not required",L275&lt;&gt;"Not required"),V275&lt;&gt;""),P275&lt;&gt;"Rolled back"),"Yes","No")</f>
        <v/>
      </c>
      <c r="Y275" s="15">
        <f>IF(X275="Yes","Completed",IF(H275="","No deadline",IF(NOT(ISNUMBER(H275)),"Check date",IF(H275&lt;Overview!$I$3,"Overdue",IF(H275&lt;=Overview!$I$3+7,"Due soon","On track")))))</f>
        <v/>
      </c>
      <c r="Z275" s="37">
        <f>IF(AND(X275&lt;&gt;"Yes",ISNUMBER(H275)),MAX(0,Overview!$I$3-H275),0)</f>
        <v/>
      </c>
      <c r="AA275" s="5" t="inlineStr">
        <is>
          <t>School Admin</t>
        </is>
      </c>
      <c r="AB275" t="inlineStr">
        <is>
          <t>/school/reports/chronic-absence</t>
        </is>
      </c>
    </row>
    <row r="276" ht="35" customHeight="1">
      <c r="A276" s="2" t="inlineStr">
        <is>
          <t>SCR-270</t>
        </is>
      </c>
      <c r="B276" s="5" t="inlineStr">
        <is>
          <t>Academic Performance</t>
        </is>
      </c>
      <c r="C276" s="5" t="inlineStr">
        <is>
          <t>Reports &amp; Analytics</t>
        </is>
      </c>
      <c r="D276" s="2" t="inlineStr">
        <is>
          <t>Phase 2</t>
        </is>
      </c>
      <c r="E276" s="2" t="inlineStr">
        <is>
          <t>US-0539, US-0540</t>
        </is>
      </c>
      <c r="F276" s="24" t="n"/>
      <c r="G276" s="24" t="n"/>
      <c r="H276" s="32" t="n"/>
      <c r="I276" s="2" t="inlineStr">
        <is>
          <t>Ready</t>
        </is>
      </c>
      <c r="J276" s="33" t="inlineStr">
        <is>
          <t>Done</t>
        </is>
      </c>
      <c r="K276" s="33" t="inlineStr">
        <is>
          <t>Done</t>
        </is>
      </c>
      <c r="L276" s="24" t="inlineStr">
        <is>
          <t>Not assessed</t>
        </is>
      </c>
      <c r="M276" s="24" t="inlineStr">
        <is>
          <t>Not assessed</t>
        </is>
      </c>
      <c r="N276" s="24" t="inlineStr">
        <is>
          <t>Not assessed</t>
        </is>
      </c>
      <c r="O276" s="35" t="n"/>
      <c r="P276" s="24" t="inlineStr">
        <is>
          <t>Not scheduled</t>
        </is>
      </c>
      <c r="Q276" s="24" t="n"/>
      <c r="R276" s="24" t="inlineStr">
        <is>
          <t>Whole-cohort analysis per exam</t>
        </is>
      </c>
      <c r="S276" s="24" t="n"/>
      <c r="T276" s="24" t="n"/>
      <c r="U276" s="36" t="n">
        <v>46285</v>
      </c>
      <c r="V276" s="24" t="n"/>
      <c r="W276" s="15">
        <f>IF(P276="Production",IF(X276="Yes","Released","Review release"),IF(P276="Rolled back","Rolled back",IF(OR(Q276&lt;&gt;"",COUNTIFS(J276:N276,"Blocked")&gt;0),"Blocked",IF(OR(M276="Failed",N276="Rejected",AND(ISNUMBER(O276),O276&gt;0)),"Rework",IF(X276="Yes","Ready for release",IF(N276="Accepted","Verify completion",IF(OR(M276="Passed",M276="In progress",N276="In review"),"Testing / review",IF(OR(COUNTIFS(J276:L276,"In progress")&gt;0,COUNTIFS(J276:L276,"In review")&gt;0,COUNTIFS(J276:L276,"Done")&gt;0),"In progress",IF(COUNTIFS(J276:N276,"Not assessed")=5,"Not assessed","Planned")))))))))</f>
        <v/>
      </c>
      <c r="X276" s="15">
        <f>IF(AND(J276="Done",OR(K276="Done",K276="Not required"),OR(L276="Done",L276="Not required"),M276="Passed",N276="Accepted",ISNUMBER(O276),O276=0,Q276="",F276&lt;&gt;"",S276&lt;&gt;"",T276&lt;&gt;"",ISNUMBER(U276),OR(AND(K276&lt;&gt;"Not required",L276&lt;&gt;"Not required"),V276&lt;&gt;""),P276&lt;&gt;"Rolled back"),"Yes","No")</f>
        <v/>
      </c>
      <c r="Y276" s="15">
        <f>IF(X276="Yes","Completed",IF(H276="","No deadline",IF(NOT(ISNUMBER(H276)),"Check date",IF(H276&lt;Overview!$I$3,"Overdue",IF(H276&lt;=Overview!$I$3+7,"Due soon","On track")))))</f>
        <v/>
      </c>
      <c r="Z276" s="37">
        <f>IF(AND(X276&lt;&gt;"Yes",ISNUMBER(H276)),MAX(0,Overview!$I$3-H276),0)</f>
        <v/>
      </c>
      <c r="AA276" s="5" t="inlineStr">
        <is>
          <t>School Admin</t>
        </is>
      </c>
      <c r="AB276" t="inlineStr">
        <is>
          <t>/school/reports/exams</t>
        </is>
      </c>
    </row>
    <row r="277" ht="35" customHeight="1">
      <c r="A277" s="2" t="inlineStr">
        <is>
          <t>SCR-271</t>
        </is>
      </c>
      <c r="B277" s="5" t="inlineStr">
        <is>
          <t>Subject Performance</t>
        </is>
      </c>
      <c r="C277" s="5" t="inlineStr">
        <is>
          <t>Reports &amp; Analytics</t>
        </is>
      </c>
      <c r="D277" s="2" t="inlineStr">
        <is>
          <t>Phase 2</t>
        </is>
      </c>
      <c r="E277" s="2" t="inlineStr">
        <is>
          <t>US-0541, US-0542</t>
        </is>
      </c>
      <c r="F277" s="24" t="n"/>
      <c r="G277" s="24" t="n"/>
      <c r="H277" s="32" t="n"/>
      <c r="I277" s="2" t="inlineStr">
        <is>
          <t>Ready</t>
        </is>
      </c>
      <c r="J277" s="33" t="inlineStr">
        <is>
          <t>Done</t>
        </is>
      </c>
      <c r="K277" s="33" t="inlineStr">
        <is>
          <t>Done</t>
        </is>
      </c>
      <c r="L277" s="24" t="inlineStr">
        <is>
          <t>Not assessed</t>
        </is>
      </c>
      <c r="M277" s="24" t="inlineStr">
        <is>
          <t>Not assessed</t>
        </is>
      </c>
      <c r="N277" s="24" t="inlineStr">
        <is>
          <t>Not assessed</t>
        </is>
      </c>
      <c r="O277" s="35" t="n"/>
      <c r="P277" s="24" t="inlineStr">
        <is>
          <t>Not scheduled</t>
        </is>
      </c>
      <c r="Q277" s="24" t="n"/>
      <c r="R277" s="24" t="inlineStr">
        <is>
          <t>Pass rate and average per subject, weakest first (in a tab, complete)</t>
        </is>
      </c>
      <c r="S277" s="24" t="n"/>
      <c r="T277" s="24" t="n"/>
      <c r="U277" s="36" t="n">
        <v>46285</v>
      </c>
      <c r="V277" s="24" t="n"/>
      <c r="W277" s="15">
        <f>IF(P277="Production",IF(X277="Yes","Released","Review release"),IF(P277="Rolled back","Rolled back",IF(OR(Q277&lt;&gt;"",COUNTIFS(J277:N277,"Blocked")&gt;0),"Blocked",IF(OR(M277="Failed",N277="Rejected",AND(ISNUMBER(O277),O277&gt;0)),"Rework",IF(X277="Yes","Ready for release",IF(N277="Accepted","Verify completion",IF(OR(M277="Passed",M277="In progress",N277="In review"),"Testing / review",IF(OR(COUNTIFS(J277:L277,"In progress")&gt;0,COUNTIFS(J277:L277,"In review")&gt;0,COUNTIFS(J277:L277,"Done")&gt;0),"In progress",IF(COUNTIFS(J277:N277,"Not assessed")=5,"Not assessed","Planned")))))))))</f>
        <v/>
      </c>
      <c r="X277" s="15">
        <f>IF(AND(J277="Done",OR(K277="Done",K277="Not required"),OR(L277="Done",L277="Not required"),M277="Passed",N277="Accepted",ISNUMBER(O277),O277=0,Q277="",F277&lt;&gt;"",S277&lt;&gt;"",T277&lt;&gt;"",ISNUMBER(U277),OR(AND(K277&lt;&gt;"Not required",L277&lt;&gt;"Not required"),V277&lt;&gt;""),P277&lt;&gt;"Rolled back"),"Yes","No")</f>
        <v/>
      </c>
      <c r="Y277" s="15">
        <f>IF(X277="Yes","Completed",IF(H277="","No deadline",IF(NOT(ISNUMBER(H277)),"Check date",IF(H277&lt;Overview!$I$3,"Overdue",IF(H277&lt;=Overview!$I$3+7,"Due soon","On track")))))</f>
        <v/>
      </c>
      <c r="Z277" s="37">
        <f>IF(AND(X277&lt;&gt;"Yes",ISNUMBER(H277)),MAX(0,Overview!$I$3-H277),0)</f>
        <v/>
      </c>
      <c r="AA277" s="5" t="inlineStr">
        <is>
          <t>School Admin</t>
        </is>
      </c>
      <c r="AB277" t="inlineStr">
        <is>
          <t>/school/reports/exams</t>
        </is>
      </c>
    </row>
    <row r="278" ht="35" customHeight="1">
      <c r="A278" s="2" t="inlineStr">
        <is>
          <t>SCR-272</t>
        </is>
      </c>
      <c r="B278" s="5" t="inlineStr">
        <is>
          <t>Exam Result Analysis</t>
        </is>
      </c>
      <c r="C278" s="5" t="inlineStr">
        <is>
          <t>Reports &amp; Analytics</t>
        </is>
      </c>
      <c r="D278" s="2" t="inlineStr">
        <is>
          <t>Phase 2</t>
        </is>
      </c>
      <c r="E278" s="2" t="inlineStr">
        <is>
          <t>US-0543, US-0544</t>
        </is>
      </c>
      <c r="F278" s="24" t="n"/>
      <c r="G278" s="24" t="n"/>
      <c r="H278" s="32" t="n"/>
      <c r="I278" s="2" t="inlineStr">
        <is>
          <t>Ready</t>
        </is>
      </c>
      <c r="J278" s="33" t="inlineStr">
        <is>
          <t>Done</t>
        </is>
      </c>
      <c r="K278" s="33" t="inlineStr">
        <is>
          <t>Done</t>
        </is>
      </c>
      <c r="L278" s="24" t="inlineStr">
        <is>
          <t>Not assessed</t>
        </is>
      </c>
      <c r="M278" s="24" t="inlineStr">
        <is>
          <t>Not assessed</t>
        </is>
      </c>
      <c r="N278" s="24" t="inlineStr">
        <is>
          <t>Not assessed</t>
        </is>
      </c>
      <c r="O278" s="35" t="n"/>
      <c r="P278" s="24" t="inlineStr">
        <is>
          <t>Not scheduled</t>
        </is>
      </c>
      <c r="Q278" s="24" t="n"/>
      <c r="R278" s="24" t="inlineStr">
        <is>
          <t>Pass rate tile and grade ring (in a tab, complete)</t>
        </is>
      </c>
      <c r="S278" s="24" t="n"/>
      <c r="T278" s="24" t="n"/>
      <c r="U278" s="36" t="n">
        <v>46285</v>
      </c>
      <c r="V278" s="24" t="n"/>
      <c r="W278" s="15">
        <f>IF(P278="Production",IF(X278="Yes","Released","Review release"),IF(P278="Rolled back","Rolled back",IF(OR(Q278&lt;&gt;"",COUNTIFS(J278:N278,"Blocked")&gt;0),"Blocked",IF(OR(M278="Failed",N278="Rejected",AND(ISNUMBER(O278),O278&gt;0)),"Rework",IF(X278="Yes","Ready for release",IF(N278="Accepted","Verify completion",IF(OR(M278="Passed",M278="In progress",N278="In review"),"Testing / review",IF(OR(COUNTIFS(J278:L278,"In progress")&gt;0,COUNTIFS(J278:L278,"In review")&gt;0,COUNTIFS(J278:L278,"Done")&gt;0),"In progress",IF(COUNTIFS(J278:N278,"Not assessed")=5,"Not assessed","Planned")))))))))</f>
        <v/>
      </c>
      <c r="X278" s="15">
        <f>IF(AND(J278="Done",OR(K278="Done",K278="Not required"),OR(L278="Done",L278="Not required"),M278="Passed",N278="Accepted",ISNUMBER(O278),O278=0,Q278="",F278&lt;&gt;"",S278&lt;&gt;"",T278&lt;&gt;"",ISNUMBER(U278),OR(AND(K278&lt;&gt;"Not required",L278&lt;&gt;"Not required"),V278&lt;&gt;""),P278&lt;&gt;"Rolled back"),"Yes","No")</f>
        <v/>
      </c>
      <c r="Y278" s="15">
        <f>IF(X278="Yes","Completed",IF(H278="","No deadline",IF(NOT(ISNUMBER(H278)),"Check date",IF(H278&lt;Overview!$I$3,"Overdue",IF(H278&lt;=Overview!$I$3+7,"Due soon","On track")))))</f>
        <v/>
      </c>
      <c r="Z278" s="37">
        <f>IF(AND(X278&lt;&gt;"Yes",ISNUMBER(H278)),MAX(0,Overview!$I$3-H278),0)</f>
        <v/>
      </c>
      <c r="AA278" s="5" t="inlineStr">
        <is>
          <t>School Admin</t>
        </is>
      </c>
      <c r="AB278" t="inlineStr">
        <is>
          <t>/school/reports/exams</t>
        </is>
      </c>
    </row>
    <row r="279" ht="35" customHeight="1">
      <c r="A279" s="2" t="inlineStr">
        <is>
          <t>SCR-273</t>
        </is>
      </c>
      <c r="B279" s="5" t="inlineStr">
        <is>
          <t>Fee Collection Report</t>
        </is>
      </c>
      <c r="C279" s="5" t="inlineStr">
        <is>
          <t>Reports &amp; Analytics</t>
        </is>
      </c>
      <c r="D279" s="2" t="inlineStr">
        <is>
          <t>Phase 2</t>
        </is>
      </c>
      <c r="E279" s="2" t="inlineStr">
        <is>
          <t>US-0545, US-0546</t>
        </is>
      </c>
      <c r="F279" s="24" t="n"/>
      <c r="G279" s="24" t="n"/>
      <c r="H279" s="32" t="n"/>
      <c r="I279" s="2" t="inlineStr">
        <is>
          <t>Ready</t>
        </is>
      </c>
      <c r="J279" s="33" t="inlineStr">
        <is>
          <t>Done</t>
        </is>
      </c>
      <c r="K279" s="33" t="inlineStr">
        <is>
          <t>Done</t>
        </is>
      </c>
      <c r="L279" s="24" t="inlineStr">
        <is>
          <t>Not assessed</t>
        </is>
      </c>
      <c r="M279" s="24" t="inlineStr">
        <is>
          <t>Not assessed</t>
        </is>
      </c>
      <c r="N279" s="24" t="inlineStr">
        <is>
          <t>Not assessed</t>
        </is>
      </c>
      <c r="O279" s="35" t="n"/>
      <c r="P279" s="24" t="inlineStr">
        <is>
          <t>Not scheduled</t>
        </is>
      </c>
      <c r="Q279" s="24" t="n"/>
      <c r="R279" s="24" t="inlineStr">
        <is>
          <t>By head, class, mode and month, with CSV</t>
        </is>
      </c>
      <c r="S279" s="24" t="n"/>
      <c r="T279" s="24" t="n"/>
      <c r="U279" s="36" t="n">
        <v>46285</v>
      </c>
      <c r="V279" s="24" t="n"/>
      <c r="W279" s="15">
        <f>IF(P279="Production",IF(X279="Yes","Released","Review release"),IF(P279="Rolled back","Rolled back",IF(OR(Q279&lt;&gt;"",COUNTIFS(J279:N279,"Blocked")&gt;0),"Blocked",IF(OR(M279="Failed",N279="Rejected",AND(ISNUMBER(O279),O279&gt;0)),"Rework",IF(X279="Yes","Ready for release",IF(N279="Accepted","Verify completion",IF(OR(M279="Passed",M279="In progress",N279="In review"),"Testing / review",IF(OR(COUNTIFS(J279:L279,"In progress")&gt;0,COUNTIFS(J279:L279,"In review")&gt;0,COUNTIFS(J279:L279,"Done")&gt;0),"In progress",IF(COUNTIFS(J279:N279,"Not assessed")=5,"Not assessed","Planned")))))))))</f>
        <v/>
      </c>
      <c r="X279" s="15">
        <f>IF(AND(J279="Done",OR(K279="Done",K279="Not required"),OR(L279="Done",L279="Not required"),M279="Passed",N279="Accepted",ISNUMBER(O279),O279=0,Q279="",F279&lt;&gt;"",S279&lt;&gt;"",T279&lt;&gt;"",ISNUMBER(U279),OR(AND(K279&lt;&gt;"Not required",L279&lt;&gt;"Not required"),V279&lt;&gt;""),P279&lt;&gt;"Rolled back"),"Yes","No")</f>
        <v/>
      </c>
      <c r="Y279" s="15">
        <f>IF(X279="Yes","Completed",IF(H279="","No deadline",IF(NOT(ISNUMBER(H279)),"Check date",IF(H279&lt;Overview!$I$3,"Overdue",IF(H279&lt;=Overview!$I$3+7,"Due soon","On track")))))</f>
        <v/>
      </c>
      <c r="Z279" s="37">
        <f>IF(AND(X279&lt;&gt;"Yes",ISNUMBER(H279)),MAX(0,Overview!$I$3-H279),0)</f>
        <v/>
      </c>
      <c r="AA279" s="5" t="inlineStr">
        <is>
          <t>School Admin</t>
        </is>
      </c>
      <c r="AB279" t="inlineStr">
        <is>
          <t>/school/reports/fee-collection</t>
        </is>
      </c>
    </row>
    <row r="280" ht="35" customHeight="1">
      <c r="A280" s="2" t="inlineStr">
        <is>
          <t>SCR-274</t>
        </is>
      </c>
      <c r="B280" s="5" t="inlineStr">
        <is>
          <t>Outstanding Dues Report</t>
        </is>
      </c>
      <c r="C280" s="5" t="inlineStr">
        <is>
          <t>Reports &amp; Analytics</t>
        </is>
      </c>
      <c r="D280" s="2" t="inlineStr">
        <is>
          <t>Phase 3</t>
        </is>
      </c>
      <c r="E280" s="2" t="inlineStr">
        <is>
          <t>US-0547, US-0548</t>
        </is>
      </c>
      <c r="F280" s="24" t="n"/>
      <c r="G280" s="24" t="n"/>
      <c r="H280" s="32" t="n"/>
      <c r="I280" s="2" t="inlineStr">
        <is>
          <t>Ready</t>
        </is>
      </c>
      <c r="J280" s="33" t="inlineStr">
        <is>
          <t>Done</t>
        </is>
      </c>
      <c r="K280" s="33" t="inlineStr">
        <is>
          <t>Done</t>
        </is>
      </c>
      <c r="L280" s="24" t="inlineStr">
        <is>
          <t>Not assessed</t>
        </is>
      </c>
      <c r="M280" s="24" t="inlineStr">
        <is>
          <t>Not assessed</t>
        </is>
      </c>
      <c r="N280" s="24" t="inlineStr">
        <is>
          <t>Not assessed</t>
        </is>
      </c>
      <c r="O280" s="35" t="n"/>
      <c r="P280" s="24" t="inlineStr">
        <is>
          <t>Not scheduled</t>
        </is>
      </c>
      <c r="Q280" s="24" t="n"/>
      <c r="R280" s="24" t="inlineStr">
        <is>
          <t>Five ageing buckets and the defaulter list, with CSV</t>
        </is>
      </c>
      <c r="S280" s="24" t="n"/>
      <c r="T280" s="24" t="n"/>
      <c r="U280" s="36" t="n">
        <v>46285</v>
      </c>
      <c r="V280" s="24" t="n"/>
      <c r="W280" s="15">
        <f>IF(P280="Production",IF(X280="Yes","Released","Review release"),IF(P280="Rolled back","Rolled back",IF(OR(Q280&lt;&gt;"",COUNTIFS(J280:N280,"Blocked")&gt;0),"Blocked",IF(OR(M280="Failed",N280="Rejected",AND(ISNUMBER(O280),O280&gt;0)),"Rework",IF(X280="Yes","Ready for release",IF(N280="Accepted","Verify completion",IF(OR(M280="Passed",M280="In progress",N280="In review"),"Testing / review",IF(OR(COUNTIFS(J280:L280,"In progress")&gt;0,COUNTIFS(J280:L280,"In review")&gt;0,COUNTIFS(J280:L280,"Done")&gt;0),"In progress",IF(COUNTIFS(J280:N280,"Not assessed")=5,"Not assessed","Planned")))))))))</f>
        <v/>
      </c>
      <c r="X280" s="15">
        <f>IF(AND(J280="Done",OR(K280="Done",K280="Not required"),OR(L280="Done",L280="Not required"),M280="Passed",N280="Accepted",ISNUMBER(O280),O280=0,Q280="",F280&lt;&gt;"",S280&lt;&gt;"",T280&lt;&gt;"",ISNUMBER(U280),OR(AND(K280&lt;&gt;"Not required",L280&lt;&gt;"Not required"),V280&lt;&gt;""),P280&lt;&gt;"Rolled back"),"Yes","No")</f>
        <v/>
      </c>
      <c r="Y280" s="15">
        <f>IF(X280="Yes","Completed",IF(H280="","No deadline",IF(NOT(ISNUMBER(H280)),"Check date",IF(H280&lt;Overview!$I$3,"Overdue",IF(H280&lt;=Overview!$I$3+7,"Due soon","On track")))))</f>
        <v/>
      </c>
      <c r="Z280" s="37">
        <f>IF(AND(X280&lt;&gt;"Yes",ISNUMBER(H280)),MAX(0,Overview!$I$3-H280),0)</f>
        <v/>
      </c>
      <c r="AA280" s="5" t="inlineStr">
        <is>
          <t>School Admin</t>
        </is>
      </c>
      <c r="AB280" t="inlineStr">
        <is>
          <t>/school/reports/dues</t>
        </is>
      </c>
    </row>
    <row r="281" ht="35" customHeight="1">
      <c r="A281" s="2" t="inlineStr">
        <is>
          <t>SCR-275</t>
        </is>
      </c>
      <c r="B281" s="5" t="inlineStr">
        <is>
          <t>Finance Summary</t>
        </is>
      </c>
      <c r="C281" s="5" t="inlineStr">
        <is>
          <t>Reports &amp; Analytics</t>
        </is>
      </c>
      <c r="D281" s="2" t="inlineStr">
        <is>
          <t>Phase 3</t>
        </is>
      </c>
      <c r="E281" s="2" t="inlineStr">
        <is>
          <t>US-0549, US-0550</t>
        </is>
      </c>
      <c r="F281" s="24" t="n"/>
      <c r="G281" s="24" t="n"/>
      <c r="H281" s="32" t="n"/>
      <c r="I281" s="2" t="inlineStr">
        <is>
          <t>Ready</t>
        </is>
      </c>
      <c r="J281" s="33" t="inlineStr">
        <is>
          <t>Done</t>
        </is>
      </c>
      <c r="K281" s="33" t="inlineStr">
        <is>
          <t>Done</t>
        </is>
      </c>
      <c r="L281" s="24" t="inlineStr">
        <is>
          <t>Not assessed</t>
        </is>
      </c>
      <c r="M281" s="24" t="inlineStr">
        <is>
          <t>Not assessed</t>
        </is>
      </c>
      <c r="N281" s="24" t="inlineStr">
        <is>
          <t>Not assessed</t>
        </is>
      </c>
      <c r="O281" s="35" t="n"/>
      <c r="P281" s="24" t="inlineStr">
        <is>
          <t>Not scheduled</t>
        </is>
      </c>
      <c r="Q281" s="24" t="n"/>
      <c r="R281" s="24" t="inlineStr">
        <is>
          <t>Cash book tab; no profit and loss view (in a tab, complete)</t>
        </is>
      </c>
      <c r="S281" s="24" t="n"/>
      <c r="T281" s="24" t="n"/>
      <c r="U281" s="36" t="n">
        <v>46285</v>
      </c>
      <c r="V281" s="24" t="n"/>
      <c r="W281" s="15">
        <f>IF(P281="Production",IF(X281="Yes","Released","Review release"),IF(P281="Rolled back","Rolled back",IF(OR(Q281&lt;&gt;"",COUNTIFS(J281:N281,"Blocked")&gt;0),"Blocked",IF(OR(M281="Failed",N281="Rejected",AND(ISNUMBER(O281),O281&gt;0)),"Rework",IF(X281="Yes","Ready for release",IF(N281="Accepted","Verify completion",IF(OR(M281="Passed",M281="In progress",N281="In review"),"Testing / review",IF(OR(COUNTIFS(J281:L281,"In progress")&gt;0,COUNTIFS(J281:L281,"In review")&gt;0,COUNTIFS(J281:L281,"Done")&gt;0),"In progress",IF(COUNTIFS(J281:N281,"Not assessed")=5,"Not assessed","Planned")))))))))</f>
        <v/>
      </c>
      <c r="X281" s="15">
        <f>IF(AND(J281="Done",OR(K281="Done",K281="Not required"),OR(L281="Done",L281="Not required"),M281="Passed",N281="Accepted",ISNUMBER(O281),O281=0,Q281="",F281&lt;&gt;"",S281&lt;&gt;"",T281&lt;&gt;"",ISNUMBER(U281),OR(AND(K281&lt;&gt;"Not required",L281&lt;&gt;"Not required"),V281&lt;&gt;""),P281&lt;&gt;"Rolled back"),"Yes","No")</f>
        <v/>
      </c>
      <c r="Y281" s="15">
        <f>IF(X281="Yes","Completed",IF(H281="","No deadline",IF(NOT(ISNUMBER(H281)),"Check date",IF(H281&lt;Overview!$I$3,"Overdue",IF(H281&lt;=Overview!$I$3+7,"Due soon","On track")))))</f>
        <v/>
      </c>
      <c r="Z281" s="37">
        <f>IF(AND(X281&lt;&gt;"Yes",ISNUMBER(H281)),MAX(0,Overview!$I$3-H281),0)</f>
        <v/>
      </c>
      <c r="AA281" s="5" t="inlineStr">
        <is>
          <t>School Admin</t>
        </is>
      </c>
      <c r="AB281" t="inlineStr">
        <is>
          <t>/school/accounts</t>
        </is>
      </c>
    </row>
    <row r="282" ht="35" customHeight="1">
      <c r="A282" s="2" t="inlineStr">
        <is>
          <t>SCR-276</t>
        </is>
      </c>
      <c r="B282" s="5" t="inlineStr">
        <is>
          <t>Staff Attendance Report</t>
        </is>
      </c>
      <c r="C282" s="5" t="inlineStr">
        <is>
          <t>Reports &amp; Analytics</t>
        </is>
      </c>
      <c r="D282" s="2" t="inlineStr">
        <is>
          <t>Phase 3</t>
        </is>
      </c>
      <c r="E282" s="2" t="inlineStr">
        <is>
          <t>US-0551, US-0552</t>
        </is>
      </c>
      <c r="F282" s="24" t="n"/>
      <c r="G282" s="24" t="n"/>
      <c r="H282" s="32" t="n"/>
      <c r="I282" s="2" t="inlineStr">
        <is>
          <t>Ready</t>
        </is>
      </c>
      <c r="J282" s="33" t="inlineStr">
        <is>
          <t>Done</t>
        </is>
      </c>
      <c r="K282" s="33" t="inlineStr">
        <is>
          <t>Done</t>
        </is>
      </c>
      <c r="L282" s="24" t="inlineStr">
        <is>
          <t>Not assessed</t>
        </is>
      </c>
      <c r="M282" s="24" t="inlineStr">
        <is>
          <t>Not assessed</t>
        </is>
      </c>
      <c r="N282" s="24" t="inlineStr">
        <is>
          <t>Not assessed</t>
        </is>
      </c>
      <c r="O282" s="35" t="n"/>
      <c r="P282" s="24" t="inlineStr">
        <is>
          <t>Not scheduled</t>
        </is>
      </c>
      <c r="Q282" s="24" t="n"/>
      <c r="R282" s="24" t="inlineStr">
        <is>
          <t>A month per person, holidays excluded</t>
        </is>
      </c>
      <c r="S282" s="24" t="n"/>
      <c r="T282" s="24" t="n"/>
      <c r="U282" s="36" t="n">
        <v>46285</v>
      </c>
      <c r="V282" s="24" t="n"/>
      <c r="W282" s="15">
        <f>IF(P282="Production",IF(X282="Yes","Released","Review release"),IF(P282="Rolled back","Rolled back",IF(OR(Q282&lt;&gt;"",COUNTIFS(J282:N282,"Blocked")&gt;0),"Blocked",IF(OR(M282="Failed",N282="Rejected",AND(ISNUMBER(O282),O282&gt;0)),"Rework",IF(X282="Yes","Ready for release",IF(N282="Accepted","Verify completion",IF(OR(M282="Passed",M282="In progress",N282="In review"),"Testing / review",IF(OR(COUNTIFS(J282:L282,"In progress")&gt;0,COUNTIFS(J282:L282,"In review")&gt;0,COUNTIFS(J282:L282,"Done")&gt;0),"In progress",IF(COUNTIFS(J282:N282,"Not assessed")=5,"Not assessed","Planned")))))))))</f>
        <v/>
      </c>
      <c r="X282" s="15">
        <f>IF(AND(J282="Done",OR(K282="Done",K282="Not required"),OR(L282="Done",L282="Not required"),M282="Passed",N282="Accepted",ISNUMBER(O282),O282=0,Q282="",F282&lt;&gt;"",S282&lt;&gt;"",T282&lt;&gt;"",ISNUMBER(U282),OR(AND(K282&lt;&gt;"Not required",L282&lt;&gt;"Not required"),V282&lt;&gt;""),P282&lt;&gt;"Rolled back"),"Yes","No")</f>
        <v/>
      </c>
      <c r="Y282" s="15">
        <f>IF(X282="Yes","Completed",IF(H282="","No deadline",IF(NOT(ISNUMBER(H282)),"Check date",IF(H282&lt;Overview!$I$3,"Overdue",IF(H282&lt;=Overview!$I$3+7,"Due soon","On track")))))</f>
        <v/>
      </c>
      <c r="Z282" s="37">
        <f>IF(AND(X282&lt;&gt;"Yes",ISNUMBER(H282)),MAX(0,Overview!$I$3-H282),0)</f>
        <v/>
      </c>
      <c r="AA282" s="5" t="inlineStr">
        <is>
          <t>School Admin</t>
        </is>
      </c>
      <c r="AB282" t="inlineStr">
        <is>
          <t>/school/reports/staff-attendance</t>
        </is>
      </c>
    </row>
    <row r="283" ht="35" customHeight="1">
      <c r="A283" s="2" t="inlineStr">
        <is>
          <t>SCR-277</t>
        </is>
      </c>
      <c r="B283" s="5" t="inlineStr">
        <is>
          <t>Payroll Summary</t>
        </is>
      </c>
      <c r="C283" s="5" t="inlineStr">
        <is>
          <t>Reports &amp; Analytics</t>
        </is>
      </c>
      <c r="D283" s="2" t="inlineStr">
        <is>
          <t>Phase 3</t>
        </is>
      </c>
      <c r="E283" s="2" t="inlineStr">
        <is>
          <t>US-0553, US-0554</t>
        </is>
      </c>
      <c r="F283" s="24" t="n"/>
      <c r="G283" s="24" t="n"/>
      <c r="H283" s="32" t="n"/>
      <c r="I283" s="2" t="inlineStr">
        <is>
          <t>Ready</t>
        </is>
      </c>
      <c r="J283" s="33" t="inlineStr">
        <is>
          <t>Done</t>
        </is>
      </c>
      <c r="K283" s="33" t="inlineStr">
        <is>
          <t>Done</t>
        </is>
      </c>
      <c r="L283" s="24" t="inlineStr">
        <is>
          <t>Not assessed</t>
        </is>
      </c>
      <c r="M283" s="24" t="inlineStr">
        <is>
          <t>Not assessed</t>
        </is>
      </c>
      <c r="N283" s="24" t="inlineStr">
        <is>
          <t>Not assessed</t>
        </is>
      </c>
      <c r="O283" s="35" t="n"/>
      <c r="P283" s="24" t="inlineStr">
        <is>
          <t>Not scheduled</t>
        </is>
      </c>
      <c r="Q283" s="24" t="n"/>
      <c r="R283" s="24" t="inlineStr">
        <is>
          <t>Per-run totals and bank file (in a tab, complete)</t>
        </is>
      </c>
      <c r="S283" s="24" t="n"/>
      <c r="T283" s="24" t="n"/>
      <c r="U283" s="36" t="n">
        <v>46285</v>
      </c>
      <c r="V283" s="24" t="n"/>
      <c r="W283" s="15">
        <f>IF(P283="Production",IF(X283="Yes","Released","Review release"),IF(P283="Rolled back","Rolled back",IF(OR(Q283&lt;&gt;"",COUNTIFS(J283:N283,"Blocked")&gt;0),"Blocked",IF(OR(M283="Failed",N283="Rejected",AND(ISNUMBER(O283),O283&gt;0)),"Rework",IF(X283="Yes","Ready for release",IF(N283="Accepted","Verify completion",IF(OR(M283="Passed",M283="In progress",N283="In review"),"Testing / review",IF(OR(COUNTIFS(J283:L283,"In progress")&gt;0,COUNTIFS(J283:L283,"In review")&gt;0,COUNTIFS(J283:L283,"Done")&gt;0),"In progress",IF(COUNTIFS(J283:N283,"Not assessed")=5,"Not assessed","Planned")))))))))</f>
        <v/>
      </c>
      <c r="X283" s="15">
        <f>IF(AND(J283="Done",OR(K283="Done",K283="Not required"),OR(L283="Done",L283="Not required"),M283="Passed",N283="Accepted",ISNUMBER(O283),O283=0,Q283="",F283&lt;&gt;"",S283&lt;&gt;"",T283&lt;&gt;"",ISNUMBER(U283),OR(AND(K283&lt;&gt;"Not required",L283&lt;&gt;"Not required"),V283&lt;&gt;""),P283&lt;&gt;"Rolled back"),"Yes","No")</f>
        <v/>
      </c>
      <c r="Y283" s="15">
        <f>IF(X283="Yes","Completed",IF(H283="","No deadline",IF(NOT(ISNUMBER(H283)),"Check date",IF(H283&lt;Overview!$I$3,"Overdue",IF(H283&lt;=Overview!$I$3+7,"Due soon","On track")))))</f>
        <v/>
      </c>
      <c r="Z283" s="37">
        <f>IF(AND(X283&lt;&gt;"Yes",ISNUMBER(H283)),MAX(0,Overview!$I$3-H283),0)</f>
        <v/>
      </c>
      <c r="AA283" s="5" t="inlineStr">
        <is>
          <t>School Admin</t>
        </is>
      </c>
      <c r="AB283" t="inlineStr">
        <is>
          <t>/school/payroll</t>
        </is>
      </c>
    </row>
    <row r="284" ht="35" customHeight="1">
      <c r="A284" s="2" t="inlineStr">
        <is>
          <t>SCR-278</t>
        </is>
      </c>
      <c r="B284" s="5" t="inlineStr">
        <is>
          <t>Teacher Performance</t>
        </is>
      </c>
      <c r="C284" s="5" t="inlineStr">
        <is>
          <t>Reports &amp; Analytics</t>
        </is>
      </c>
      <c r="D284" s="2" t="inlineStr">
        <is>
          <t>Phase 3</t>
        </is>
      </c>
      <c r="E284" s="2" t="inlineStr">
        <is>
          <t>US-0555, US-0556</t>
        </is>
      </c>
      <c r="F284" s="24" t="n"/>
      <c r="G284" s="24" t="n"/>
      <c r="H284" s="32" t="n"/>
      <c r="I284" s="2" t="inlineStr">
        <is>
          <t>Ready</t>
        </is>
      </c>
      <c r="J284" s="33" t="inlineStr">
        <is>
          <t>Done</t>
        </is>
      </c>
      <c r="K284" s="33" t="inlineStr">
        <is>
          <t>Done</t>
        </is>
      </c>
      <c r="L284" s="24" t="inlineStr">
        <is>
          <t>Not assessed</t>
        </is>
      </c>
      <c r="M284" s="24" t="inlineStr">
        <is>
          <t>Not assessed</t>
        </is>
      </c>
      <c r="N284" s="24" t="inlineStr">
        <is>
          <t>Not assessed</t>
        </is>
      </c>
      <c r="O284" s="35" t="n"/>
      <c r="P284" s="24" t="inlineStr">
        <is>
          <t>Not scheduled</t>
        </is>
      </c>
      <c r="Q284" s="24" t="n"/>
      <c r="R284" s="24" t="inlineStr">
        <is>
          <t>Counts of work done, stated as not a ranking</t>
        </is>
      </c>
      <c r="S284" s="24" t="n"/>
      <c r="T284" s="24" t="n"/>
      <c r="U284" s="36" t="n">
        <v>46285</v>
      </c>
      <c r="V284" s="24" t="n"/>
      <c r="W284" s="15">
        <f>IF(P284="Production",IF(X284="Yes","Released","Review release"),IF(P284="Rolled back","Rolled back",IF(OR(Q284&lt;&gt;"",COUNTIFS(J284:N284,"Blocked")&gt;0),"Blocked",IF(OR(M284="Failed",N284="Rejected",AND(ISNUMBER(O284),O284&gt;0)),"Rework",IF(X284="Yes","Ready for release",IF(N284="Accepted","Verify completion",IF(OR(M284="Passed",M284="In progress",N284="In review"),"Testing / review",IF(OR(COUNTIFS(J284:L284,"In progress")&gt;0,COUNTIFS(J284:L284,"In review")&gt;0,COUNTIFS(J284:L284,"Done")&gt;0),"In progress",IF(COUNTIFS(J284:N284,"Not assessed")=5,"Not assessed","Planned")))))))))</f>
        <v/>
      </c>
      <c r="X284" s="15">
        <f>IF(AND(J284="Done",OR(K284="Done",K284="Not required"),OR(L284="Done",L284="Not required"),M284="Passed",N284="Accepted",ISNUMBER(O284),O284=0,Q284="",F284&lt;&gt;"",S284&lt;&gt;"",T284&lt;&gt;"",ISNUMBER(U284),OR(AND(K284&lt;&gt;"Not required",L284&lt;&gt;"Not required"),V284&lt;&gt;""),P284&lt;&gt;"Rolled back"),"Yes","No")</f>
        <v/>
      </c>
      <c r="Y284" s="15">
        <f>IF(X284="Yes","Completed",IF(H284="","No deadline",IF(NOT(ISNUMBER(H284)),"Check date",IF(H284&lt;Overview!$I$3,"Overdue",IF(H284&lt;=Overview!$I$3+7,"Due soon","On track")))))</f>
        <v/>
      </c>
      <c r="Z284" s="37">
        <f>IF(AND(X284&lt;&gt;"Yes",ISNUMBER(H284)),MAX(0,Overview!$I$3-H284),0)</f>
        <v/>
      </c>
      <c r="AA284" s="5" t="inlineStr">
        <is>
          <t>School Admin</t>
        </is>
      </c>
      <c r="AB284" t="inlineStr">
        <is>
          <t>/school/reports/teachers</t>
        </is>
      </c>
    </row>
    <row r="285" ht="35" customHeight="1">
      <c r="A285" s="2" t="inlineStr">
        <is>
          <t>SCR-279</t>
        </is>
      </c>
      <c r="B285" s="5" t="inlineStr">
        <is>
          <t>Transport Utilization</t>
        </is>
      </c>
      <c r="C285" s="5" t="inlineStr">
        <is>
          <t>Reports &amp; Analytics</t>
        </is>
      </c>
      <c r="D285" s="2" t="inlineStr">
        <is>
          <t>Phase 3</t>
        </is>
      </c>
      <c r="E285" s="2" t="inlineStr">
        <is>
          <t>US-0557, US-0558</t>
        </is>
      </c>
      <c r="F285" s="24" t="n"/>
      <c r="G285" s="24" t="n"/>
      <c r="H285" s="32" t="n"/>
      <c r="I285" s="2" t="inlineStr">
        <is>
          <t>Ready</t>
        </is>
      </c>
      <c r="J285" s="33" t="inlineStr">
        <is>
          <t>Done</t>
        </is>
      </c>
      <c r="K285" s="33" t="inlineStr">
        <is>
          <t>Done</t>
        </is>
      </c>
      <c r="L285" s="24" t="inlineStr">
        <is>
          <t>Not assessed</t>
        </is>
      </c>
      <c r="M285" s="24" t="inlineStr">
        <is>
          <t>Not assessed</t>
        </is>
      </c>
      <c r="N285" s="24" t="inlineStr">
        <is>
          <t>Not assessed</t>
        </is>
      </c>
      <c r="O285" s="35" t="n"/>
      <c r="P285" s="24" t="inlineStr">
        <is>
          <t>Not scheduled</t>
        </is>
      </c>
      <c r="Q285" s="24" t="n"/>
      <c r="R285" s="24" t="inlineStr">
        <is>
          <t>Riders against seats, over-capacity routes flagged</t>
        </is>
      </c>
      <c r="S285" s="24" t="n"/>
      <c r="T285" s="24" t="n"/>
      <c r="U285" s="36" t="n">
        <v>46285</v>
      </c>
      <c r="V285" s="24" t="n"/>
      <c r="W285" s="15">
        <f>IF(P285="Production",IF(X285="Yes","Released","Review release"),IF(P285="Rolled back","Rolled back",IF(OR(Q285&lt;&gt;"",COUNTIFS(J285:N285,"Blocked")&gt;0),"Blocked",IF(OR(M285="Failed",N285="Rejected",AND(ISNUMBER(O285),O285&gt;0)),"Rework",IF(X285="Yes","Ready for release",IF(N285="Accepted","Verify completion",IF(OR(M285="Passed",M285="In progress",N285="In review"),"Testing / review",IF(OR(COUNTIFS(J285:L285,"In progress")&gt;0,COUNTIFS(J285:L285,"In review")&gt;0,COUNTIFS(J285:L285,"Done")&gt;0),"In progress",IF(COUNTIFS(J285:N285,"Not assessed")=5,"Not assessed","Planned")))))))))</f>
        <v/>
      </c>
      <c r="X285" s="15">
        <f>IF(AND(J285="Done",OR(K285="Done",K285="Not required"),OR(L285="Done",L285="Not required"),M285="Passed",N285="Accepted",ISNUMBER(O285),O285=0,Q285="",F285&lt;&gt;"",S285&lt;&gt;"",T285&lt;&gt;"",ISNUMBER(U285),OR(AND(K285&lt;&gt;"Not required",L285&lt;&gt;"Not required"),V285&lt;&gt;""),P285&lt;&gt;"Rolled back"),"Yes","No")</f>
        <v/>
      </c>
      <c r="Y285" s="15">
        <f>IF(X285="Yes","Completed",IF(H285="","No deadline",IF(NOT(ISNUMBER(H285)),"Check date",IF(H285&lt;Overview!$I$3,"Overdue",IF(H285&lt;=Overview!$I$3+7,"Due soon","On track")))))</f>
        <v/>
      </c>
      <c r="Z285" s="37">
        <f>IF(AND(X285&lt;&gt;"Yes",ISNUMBER(H285)),MAX(0,Overview!$I$3-H285),0)</f>
        <v/>
      </c>
      <c r="AA285" s="5" t="inlineStr">
        <is>
          <t>School Admin</t>
        </is>
      </c>
      <c r="AB285" t="inlineStr">
        <is>
          <t>/school/reports/transport</t>
        </is>
      </c>
    </row>
    <row r="286" ht="35" customHeight="1">
      <c r="A286" s="2" t="inlineStr">
        <is>
          <t>SCR-280</t>
        </is>
      </c>
      <c r="B286" s="5" t="inlineStr">
        <is>
          <t>Library Usage</t>
        </is>
      </c>
      <c r="C286" s="5" t="inlineStr">
        <is>
          <t>Reports &amp; Analytics</t>
        </is>
      </c>
      <c r="D286" s="2" t="inlineStr">
        <is>
          <t>Phase 3</t>
        </is>
      </c>
      <c r="E286" s="2" t="inlineStr">
        <is>
          <t>US-0559, US-0560</t>
        </is>
      </c>
      <c r="F286" s="24" t="n"/>
      <c r="G286" s="24" t="n"/>
      <c r="H286" s="32" t="n"/>
      <c r="I286" s="2" t="inlineStr">
        <is>
          <t>Ready</t>
        </is>
      </c>
      <c r="J286" s="33" t="inlineStr">
        <is>
          <t>Done</t>
        </is>
      </c>
      <c r="K286" s="33" t="inlineStr">
        <is>
          <t>Done</t>
        </is>
      </c>
      <c r="L286" s="24" t="inlineStr">
        <is>
          <t>Not assessed</t>
        </is>
      </c>
      <c r="M286" s="24" t="inlineStr">
        <is>
          <t>Not assessed</t>
        </is>
      </c>
      <c r="N286" s="24" t="inlineStr">
        <is>
          <t>Not assessed</t>
        </is>
      </c>
      <c r="O286" s="35" t="n"/>
      <c r="P286" s="24" t="inlineStr">
        <is>
          <t>Not scheduled</t>
        </is>
      </c>
      <c r="Q286" s="24" t="n"/>
      <c r="R286" s="24" t="inlineStr">
        <is>
          <t>Issues and returns by month, and top titles</t>
        </is>
      </c>
      <c r="S286" s="24" t="n"/>
      <c r="T286" s="24" t="n"/>
      <c r="U286" s="36" t="n">
        <v>46285</v>
      </c>
      <c r="V286" s="24" t="n"/>
      <c r="W286" s="15">
        <f>IF(P286="Production",IF(X286="Yes","Released","Review release"),IF(P286="Rolled back","Rolled back",IF(OR(Q286&lt;&gt;"",COUNTIFS(J286:N286,"Blocked")&gt;0),"Blocked",IF(OR(M286="Failed",N286="Rejected",AND(ISNUMBER(O286),O286&gt;0)),"Rework",IF(X286="Yes","Ready for release",IF(N286="Accepted","Verify completion",IF(OR(M286="Passed",M286="In progress",N286="In review"),"Testing / review",IF(OR(COUNTIFS(J286:L286,"In progress")&gt;0,COUNTIFS(J286:L286,"In review")&gt;0,COUNTIFS(J286:L286,"Done")&gt;0),"In progress",IF(COUNTIFS(J286:N286,"Not assessed")=5,"Not assessed","Planned")))))))))</f>
        <v/>
      </c>
      <c r="X286" s="15">
        <f>IF(AND(J286="Done",OR(K286="Done",K286="Not required"),OR(L286="Done",L286="Not required"),M286="Passed",N286="Accepted",ISNUMBER(O286),O286=0,Q286="",F286&lt;&gt;"",S286&lt;&gt;"",T286&lt;&gt;"",ISNUMBER(U286),OR(AND(K286&lt;&gt;"Not required",L286&lt;&gt;"Not required"),V286&lt;&gt;""),P286&lt;&gt;"Rolled back"),"Yes","No")</f>
        <v/>
      </c>
      <c r="Y286" s="15">
        <f>IF(X286="Yes","Completed",IF(H286="","No deadline",IF(NOT(ISNUMBER(H286)),"Check date",IF(H286&lt;Overview!$I$3,"Overdue",IF(H286&lt;=Overview!$I$3+7,"Due soon","On track")))))</f>
        <v/>
      </c>
      <c r="Z286" s="37">
        <f>IF(AND(X286&lt;&gt;"Yes",ISNUMBER(H286)),MAX(0,Overview!$I$3-H286),0)</f>
        <v/>
      </c>
      <c r="AA286" s="5" t="inlineStr">
        <is>
          <t>School Admin</t>
        </is>
      </c>
      <c r="AB286" t="inlineStr">
        <is>
          <t>/school/reports/library</t>
        </is>
      </c>
    </row>
    <row r="287" ht="35" customHeight="1">
      <c r="A287" s="2" t="inlineStr">
        <is>
          <t>SCR-281</t>
        </is>
      </c>
      <c r="B287" s="5" t="inlineStr">
        <is>
          <t>Inventory &amp; Asset Report</t>
        </is>
      </c>
      <c r="C287" s="5" t="inlineStr">
        <is>
          <t>Reports &amp; Analytics</t>
        </is>
      </c>
      <c r="D287" s="2" t="inlineStr">
        <is>
          <t>Phase 3</t>
        </is>
      </c>
      <c r="E287" s="2" t="inlineStr">
        <is>
          <t>US-0561, US-0562</t>
        </is>
      </c>
      <c r="F287" s="24" t="n"/>
      <c r="G287" s="24" t="n"/>
      <c r="H287" s="32" t="n"/>
      <c r="I287" s="2" t="inlineStr">
        <is>
          <t>Ready</t>
        </is>
      </c>
      <c r="J287" s="33" t="inlineStr">
        <is>
          <t>Done</t>
        </is>
      </c>
      <c r="K287" s="33" t="inlineStr">
        <is>
          <t>Done</t>
        </is>
      </c>
      <c r="L287" s="24" t="inlineStr">
        <is>
          <t>Not assessed</t>
        </is>
      </c>
      <c r="M287" s="24" t="inlineStr">
        <is>
          <t>Not assessed</t>
        </is>
      </c>
      <c r="N287" s="24" t="inlineStr">
        <is>
          <t>Not assessed</t>
        </is>
      </c>
      <c r="O287" s="35" t="n"/>
      <c r="P287" s="24" t="inlineStr">
        <is>
          <t>Not scheduled</t>
        </is>
      </c>
      <c r="Q287" s="24" t="n"/>
      <c r="R287" s="24" t="inlineStr">
        <is>
          <t>Stock and asset value by category, and low stock</t>
        </is>
      </c>
      <c r="S287" s="24" t="n"/>
      <c r="T287" s="24" t="n"/>
      <c r="U287" s="36" t="n">
        <v>46285</v>
      </c>
      <c r="V287" s="24" t="n"/>
      <c r="W287" s="15">
        <f>IF(P287="Production",IF(X287="Yes","Released","Review release"),IF(P287="Rolled back","Rolled back",IF(OR(Q287&lt;&gt;"",COUNTIFS(J287:N287,"Blocked")&gt;0),"Blocked",IF(OR(M287="Failed",N287="Rejected",AND(ISNUMBER(O287),O287&gt;0)),"Rework",IF(X287="Yes","Ready for release",IF(N287="Accepted","Verify completion",IF(OR(M287="Passed",M287="In progress",N287="In review"),"Testing / review",IF(OR(COUNTIFS(J287:L287,"In progress")&gt;0,COUNTIFS(J287:L287,"In review")&gt;0,COUNTIFS(J287:L287,"Done")&gt;0),"In progress",IF(COUNTIFS(J287:N287,"Not assessed")=5,"Not assessed","Planned")))))))))</f>
        <v/>
      </c>
      <c r="X287" s="15">
        <f>IF(AND(J287="Done",OR(K287="Done",K287="Not required"),OR(L287="Done",L287="Not required"),M287="Passed",N287="Accepted",ISNUMBER(O287),O287=0,Q287="",F287&lt;&gt;"",S287&lt;&gt;"",T287&lt;&gt;"",ISNUMBER(U287),OR(AND(K287&lt;&gt;"Not required",L287&lt;&gt;"Not required"),V287&lt;&gt;""),P287&lt;&gt;"Rolled back"),"Yes","No")</f>
        <v/>
      </c>
      <c r="Y287" s="15">
        <f>IF(X287="Yes","Completed",IF(H287="","No deadline",IF(NOT(ISNUMBER(H287)),"Check date",IF(H287&lt;Overview!$I$3,"Overdue",IF(H287&lt;=Overview!$I$3+7,"Due soon","On track")))))</f>
        <v/>
      </c>
      <c r="Z287" s="37">
        <f>IF(AND(X287&lt;&gt;"Yes",ISNUMBER(H287)),MAX(0,Overview!$I$3-H287),0)</f>
        <v/>
      </c>
      <c r="AA287" s="5" t="inlineStr">
        <is>
          <t>School Admin</t>
        </is>
      </c>
      <c r="AB287" t="inlineStr">
        <is>
          <t>/school/reports/inventory</t>
        </is>
      </c>
    </row>
    <row r="288" ht="35" customHeight="1">
      <c r="A288" s="2" t="inlineStr">
        <is>
          <t>SCR-282</t>
        </is>
      </c>
      <c r="B288" s="5" t="inlineStr">
        <is>
          <t>Communication / Notification Report</t>
        </is>
      </c>
      <c r="C288" s="5" t="inlineStr">
        <is>
          <t>Reports &amp; Analytics</t>
        </is>
      </c>
      <c r="D288" s="2" t="inlineStr">
        <is>
          <t>Phase 3</t>
        </is>
      </c>
      <c r="E288" s="2" t="inlineStr">
        <is>
          <t>US-0563, US-0564</t>
        </is>
      </c>
      <c r="F288" s="24" t="n"/>
      <c r="G288" s="24" t="n"/>
      <c r="H288" s="32" t="n"/>
      <c r="I288" s="2" t="inlineStr">
        <is>
          <t>Ready</t>
        </is>
      </c>
      <c r="J288" s="33" t="inlineStr">
        <is>
          <t>Done</t>
        </is>
      </c>
      <c r="K288" s="33" t="inlineStr">
        <is>
          <t>Done</t>
        </is>
      </c>
      <c r="L288" s="24" t="inlineStr">
        <is>
          <t>Not assessed</t>
        </is>
      </c>
      <c r="M288" s="24" t="inlineStr">
        <is>
          <t>Not assessed</t>
        </is>
      </c>
      <c r="N288" s="24" t="inlineStr">
        <is>
          <t>Not assessed</t>
        </is>
      </c>
      <c r="O288" s="35" t="n"/>
      <c r="P288" s="24" t="inlineStr">
        <is>
          <t>Not scheduled</t>
        </is>
      </c>
      <c r="Q288" s="24" t="n"/>
      <c r="R288" s="24" t="inlineStr">
        <is>
          <t>By audience, month and channel, skipped kept apart from failed</t>
        </is>
      </c>
      <c r="S288" s="24" t="n"/>
      <c r="T288" s="24" t="n"/>
      <c r="U288" s="36" t="n">
        <v>46285</v>
      </c>
      <c r="V288" s="24" t="n"/>
      <c r="W288" s="15">
        <f>IF(P288="Production",IF(X288="Yes","Released","Review release"),IF(P288="Rolled back","Rolled back",IF(OR(Q288&lt;&gt;"",COUNTIFS(J288:N288,"Blocked")&gt;0),"Blocked",IF(OR(M288="Failed",N288="Rejected",AND(ISNUMBER(O288),O288&gt;0)),"Rework",IF(X288="Yes","Ready for release",IF(N288="Accepted","Verify completion",IF(OR(M288="Passed",M288="In progress",N288="In review"),"Testing / review",IF(OR(COUNTIFS(J288:L288,"In progress")&gt;0,COUNTIFS(J288:L288,"In review")&gt;0,COUNTIFS(J288:L288,"Done")&gt;0),"In progress",IF(COUNTIFS(J288:N288,"Not assessed")=5,"Not assessed","Planned")))))))))</f>
        <v/>
      </c>
      <c r="X288" s="15">
        <f>IF(AND(J288="Done",OR(K288="Done",K288="Not required"),OR(L288="Done",L288="Not required"),M288="Passed",N288="Accepted",ISNUMBER(O288),O288=0,Q288="",F288&lt;&gt;"",S288&lt;&gt;"",T288&lt;&gt;"",ISNUMBER(U288),OR(AND(K288&lt;&gt;"Not required",L288&lt;&gt;"Not required"),V288&lt;&gt;""),P288&lt;&gt;"Rolled back"),"Yes","No")</f>
        <v/>
      </c>
      <c r="Y288" s="15">
        <f>IF(X288="Yes","Completed",IF(H288="","No deadline",IF(NOT(ISNUMBER(H288)),"Check date",IF(H288&lt;Overview!$I$3,"Overdue",IF(H288&lt;=Overview!$I$3+7,"Due soon","On track")))))</f>
        <v/>
      </c>
      <c r="Z288" s="37">
        <f>IF(AND(X288&lt;&gt;"Yes",ISNUMBER(H288)),MAX(0,Overview!$I$3-H288),0)</f>
        <v/>
      </c>
      <c r="AA288" s="5" t="inlineStr">
        <is>
          <t>School Admin</t>
        </is>
      </c>
      <c r="AB288" t="inlineStr">
        <is>
          <t>/school/reports/notifications</t>
        </is>
      </c>
    </row>
    <row r="289" ht="35" customHeight="1">
      <c r="A289" s="2" t="inlineStr">
        <is>
          <t>SCR-283</t>
        </is>
      </c>
      <c r="B289" s="5" t="inlineStr">
        <is>
          <t>Custom Report Builder</t>
        </is>
      </c>
      <c r="C289" s="5" t="inlineStr">
        <is>
          <t>Reports &amp; Analytics</t>
        </is>
      </c>
      <c r="D289" s="2" t="inlineStr">
        <is>
          <t>Phase 3</t>
        </is>
      </c>
      <c r="E289" s="2" t="inlineStr">
        <is>
          <t>US-0565, US-0566</t>
        </is>
      </c>
      <c r="F289" s="24" t="n"/>
      <c r="G289" s="24" t="n"/>
      <c r="H289" s="32" t="n"/>
      <c r="I289" s="2" t="inlineStr">
        <is>
          <t>Ready</t>
        </is>
      </c>
      <c r="J289" s="38" t="inlineStr">
        <is>
          <t>In progress</t>
        </is>
      </c>
      <c r="K289" s="33" t="inlineStr">
        <is>
          <t>Done</t>
        </is>
      </c>
      <c r="L289" s="24" t="inlineStr">
        <is>
          <t>Not assessed</t>
        </is>
      </c>
      <c r="M289" s="24" t="inlineStr">
        <is>
          <t>Not assessed</t>
        </is>
      </c>
      <c r="N289" s="24" t="inlineStr">
        <is>
          <t>Not assessed</t>
        </is>
      </c>
      <c r="O289" s="35" t="n"/>
      <c r="P289" s="24" t="inlineStr">
        <is>
          <t>Not scheduled</t>
        </is>
      </c>
      <c r="Q289" s="24" t="n"/>
      <c r="R289" s="24" t="inlineStr">
        <is>
          <t>Sources, columns, run and export; no filter UI</t>
        </is>
      </c>
      <c r="S289" s="24" t="n"/>
      <c r="T289" s="24" t="n"/>
      <c r="U289" s="36" t="n">
        <v>46285</v>
      </c>
      <c r="V289" s="24" t="n"/>
      <c r="W289" s="15">
        <f>IF(P289="Production",IF(X289="Yes","Released","Review release"),IF(P289="Rolled back","Rolled back",IF(OR(Q289&lt;&gt;"",COUNTIFS(J289:N289,"Blocked")&gt;0),"Blocked",IF(OR(M289="Failed",N289="Rejected",AND(ISNUMBER(O289),O289&gt;0)),"Rework",IF(X289="Yes","Ready for release",IF(N289="Accepted","Verify completion",IF(OR(M289="Passed",M289="In progress",N289="In review"),"Testing / review",IF(OR(COUNTIFS(J289:L289,"In progress")&gt;0,COUNTIFS(J289:L289,"In review")&gt;0,COUNTIFS(J289:L289,"Done")&gt;0),"In progress",IF(COUNTIFS(J289:N289,"Not assessed")=5,"Not assessed","Planned")))))))))</f>
        <v/>
      </c>
      <c r="X289" s="15">
        <f>IF(AND(J289="Done",OR(K289="Done",K289="Not required"),OR(L289="Done",L289="Not required"),M289="Passed",N289="Accepted",ISNUMBER(O289),O289=0,Q289="",F289&lt;&gt;"",S289&lt;&gt;"",T289&lt;&gt;"",ISNUMBER(U289),OR(AND(K289&lt;&gt;"Not required",L289&lt;&gt;"Not required"),V289&lt;&gt;""),P289&lt;&gt;"Rolled back"),"Yes","No")</f>
        <v/>
      </c>
      <c r="Y289" s="15">
        <f>IF(X289="Yes","Completed",IF(H289="","No deadline",IF(NOT(ISNUMBER(H289)),"Check date",IF(H289&lt;Overview!$I$3,"Overdue",IF(H289&lt;=Overview!$I$3+7,"Due soon","On track")))))</f>
        <v/>
      </c>
      <c r="Z289" s="37">
        <f>IF(AND(X289&lt;&gt;"Yes",ISNUMBER(H289)),MAX(0,Overview!$I$3-H289),0)</f>
        <v/>
      </c>
      <c r="AA289" s="5" t="inlineStr">
        <is>
          <t>School Admin</t>
        </is>
      </c>
      <c r="AB289" t="inlineStr">
        <is>
          <t>/school/data-desk</t>
        </is>
      </c>
    </row>
    <row r="290" ht="35" customHeight="1">
      <c r="A290" s="2" t="inlineStr">
        <is>
          <t>SCR-284</t>
        </is>
      </c>
      <c r="B290" s="5" t="inlineStr">
        <is>
          <t>User Management</t>
        </is>
      </c>
      <c r="C290" s="5" t="inlineStr">
        <is>
          <t>Settings / Roles / Permissions / Audit</t>
        </is>
      </c>
      <c r="D290" s="2" t="inlineStr">
        <is>
          <t>MVP</t>
        </is>
      </c>
      <c r="E290" s="2" t="inlineStr">
        <is>
          <t>US-0567, US-0568</t>
        </is>
      </c>
      <c r="F290" s="24" t="n"/>
      <c r="G290" s="24" t="n"/>
      <c r="H290" s="32" t="n"/>
      <c r="I290" s="2" t="inlineStr">
        <is>
          <t>Ready</t>
        </is>
      </c>
      <c r="J290" s="33" t="inlineStr">
        <is>
          <t>Done</t>
        </is>
      </c>
      <c r="K290" s="33" t="inlineStr">
        <is>
          <t>Done</t>
        </is>
      </c>
      <c r="L290" s="24" t="inlineStr">
        <is>
          <t>Not assessed</t>
        </is>
      </c>
      <c r="M290" s="24" t="inlineStr">
        <is>
          <t>Not assessed</t>
        </is>
      </c>
      <c r="N290" s="24" t="inlineStr">
        <is>
          <t>Not assessed</t>
        </is>
      </c>
      <c r="O290" s="35" t="n"/>
      <c r="P290" s="24" t="inlineStr">
        <is>
          <t>Not scheduled</t>
        </is>
      </c>
      <c r="Q290" s="24" t="n"/>
      <c r="R290" s="24" t="inlineStr">
        <is>
          <t>Create login, activate, reset password</t>
        </is>
      </c>
      <c r="S290" s="24" t="n"/>
      <c r="T290" s="24" t="n"/>
      <c r="U290" s="36" t="n">
        <v>46285</v>
      </c>
      <c r="V290" s="24" t="n"/>
      <c r="W290" s="15">
        <f>IF(P290="Production",IF(X290="Yes","Released","Review release"),IF(P290="Rolled back","Rolled back",IF(OR(Q290&lt;&gt;"",COUNTIFS(J290:N290,"Blocked")&gt;0),"Blocked",IF(OR(M290="Failed",N290="Rejected",AND(ISNUMBER(O290),O290&gt;0)),"Rework",IF(X290="Yes","Ready for release",IF(N290="Accepted","Verify completion",IF(OR(M290="Passed",M290="In progress",N290="In review"),"Testing / review",IF(OR(COUNTIFS(J290:L290,"In progress")&gt;0,COUNTIFS(J290:L290,"In review")&gt;0,COUNTIFS(J290:L290,"Done")&gt;0),"In progress",IF(COUNTIFS(J290:N290,"Not assessed")=5,"Not assessed","Planned")))))))))</f>
        <v/>
      </c>
      <c r="X290" s="15">
        <f>IF(AND(J290="Done",OR(K290="Done",K290="Not required"),OR(L290="Done",L290="Not required"),M290="Passed",N290="Accepted",ISNUMBER(O290),O290=0,Q290="",F290&lt;&gt;"",S290&lt;&gt;"",T290&lt;&gt;"",ISNUMBER(U290),OR(AND(K290&lt;&gt;"Not required",L290&lt;&gt;"Not required"),V290&lt;&gt;""),P290&lt;&gt;"Rolled back"),"Yes","No")</f>
        <v/>
      </c>
      <c r="Y290" s="15">
        <f>IF(X290="Yes","Completed",IF(H290="","No deadline",IF(NOT(ISNUMBER(H290)),"Check date",IF(H290&lt;Overview!$I$3,"Overdue",IF(H290&lt;=Overview!$I$3+7,"Due soon","On track")))))</f>
        <v/>
      </c>
      <c r="Z290" s="37">
        <f>IF(AND(X290&lt;&gt;"Yes",ISNUMBER(H290)),MAX(0,Overview!$I$3-H290),0)</f>
        <v/>
      </c>
      <c r="AA290" s="5" t="inlineStr">
        <is>
          <t>IT Admin</t>
        </is>
      </c>
      <c r="AB290" t="inlineStr">
        <is>
          <t>/school/staff</t>
        </is>
      </c>
    </row>
    <row r="291" ht="35" customHeight="1">
      <c r="A291" s="2" t="inlineStr">
        <is>
          <t>SCR-285</t>
        </is>
      </c>
      <c r="B291" s="5" t="inlineStr">
        <is>
          <t>Roles</t>
        </is>
      </c>
      <c r="C291" s="5" t="inlineStr">
        <is>
          <t>Settings / Roles / Permissions / Audit</t>
        </is>
      </c>
      <c r="D291" s="2" t="inlineStr">
        <is>
          <t>MVP</t>
        </is>
      </c>
      <c r="E291" s="2" t="inlineStr">
        <is>
          <t>US-0569, US-0570</t>
        </is>
      </c>
      <c r="F291" s="24" t="n"/>
      <c r="G291" s="24" t="n"/>
      <c r="H291" s="32" t="n"/>
      <c r="I291" s="2" t="inlineStr">
        <is>
          <t>Ready</t>
        </is>
      </c>
      <c r="J291" s="33" t="inlineStr">
        <is>
          <t>Done</t>
        </is>
      </c>
      <c r="K291" s="33" t="inlineStr">
        <is>
          <t>Done</t>
        </is>
      </c>
      <c r="L291" s="24" t="inlineStr">
        <is>
          <t>Not assessed</t>
        </is>
      </c>
      <c r="M291" s="24" t="inlineStr">
        <is>
          <t>Not assessed</t>
        </is>
      </c>
      <c r="N291" s="24" t="inlineStr">
        <is>
          <t>Not assessed</t>
        </is>
      </c>
      <c r="O291" s="35" t="n"/>
      <c r="P291" s="24" t="inlineStr">
        <is>
          <t>Not scheduled</t>
        </is>
      </c>
      <c r="Q291" s="24" t="n"/>
      <c r="R291" s="24" t="inlineStr">
        <is>
          <t>Role CRUD with built-in and custom</t>
        </is>
      </c>
      <c r="S291" s="24" t="n"/>
      <c r="T291" s="24" t="n"/>
      <c r="U291" s="36" t="n">
        <v>46285</v>
      </c>
      <c r="V291" s="24" t="n"/>
      <c r="W291" s="15">
        <f>IF(P291="Production",IF(X291="Yes","Released","Review release"),IF(P291="Rolled back","Rolled back",IF(OR(Q291&lt;&gt;"",COUNTIFS(J291:N291,"Blocked")&gt;0),"Blocked",IF(OR(M291="Failed",N291="Rejected",AND(ISNUMBER(O291),O291&gt;0)),"Rework",IF(X291="Yes","Ready for release",IF(N291="Accepted","Verify completion",IF(OR(M291="Passed",M291="In progress",N291="In review"),"Testing / review",IF(OR(COUNTIFS(J291:L291,"In progress")&gt;0,COUNTIFS(J291:L291,"In review")&gt;0,COUNTIFS(J291:L291,"Done")&gt;0),"In progress",IF(COUNTIFS(J291:N291,"Not assessed")=5,"Not assessed","Planned")))))))))</f>
        <v/>
      </c>
      <c r="X291" s="15">
        <f>IF(AND(J291="Done",OR(K291="Done",K291="Not required"),OR(L291="Done",L291="Not required"),M291="Passed",N291="Accepted",ISNUMBER(O291),O291=0,Q291="",F291&lt;&gt;"",S291&lt;&gt;"",T291&lt;&gt;"",ISNUMBER(U291),OR(AND(K291&lt;&gt;"Not required",L291&lt;&gt;"Not required"),V291&lt;&gt;""),P291&lt;&gt;"Rolled back"),"Yes","No")</f>
        <v/>
      </c>
      <c r="Y291" s="15">
        <f>IF(X291="Yes","Completed",IF(H291="","No deadline",IF(NOT(ISNUMBER(H291)),"Check date",IF(H291&lt;Overview!$I$3,"Overdue",IF(H291&lt;=Overview!$I$3+7,"Due soon","On track")))))</f>
        <v/>
      </c>
      <c r="Z291" s="37">
        <f>IF(AND(X291&lt;&gt;"Yes",ISNUMBER(H291)),MAX(0,Overview!$I$3-H291),0)</f>
        <v/>
      </c>
      <c r="AA291" s="5" t="inlineStr">
        <is>
          <t>IT Admin</t>
        </is>
      </c>
      <c r="AB291" t="inlineStr">
        <is>
          <t>/school/roles</t>
        </is>
      </c>
    </row>
    <row r="292" ht="35" customHeight="1">
      <c r="A292" s="2" t="inlineStr">
        <is>
          <t>SCR-286</t>
        </is>
      </c>
      <c r="B292" s="5" t="inlineStr">
        <is>
          <t>Permissions</t>
        </is>
      </c>
      <c r="C292" s="5" t="inlineStr">
        <is>
          <t>Settings / Roles / Permissions / Audit</t>
        </is>
      </c>
      <c r="D292" s="2" t="inlineStr">
        <is>
          <t>MVP</t>
        </is>
      </c>
      <c r="E292" s="2" t="inlineStr">
        <is>
          <t>US-0571, US-0572</t>
        </is>
      </c>
      <c r="F292" s="24" t="n"/>
      <c r="G292" s="24" t="n"/>
      <c r="H292" s="32" t="n"/>
      <c r="I292" s="2" t="inlineStr">
        <is>
          <t>Ready</t>
        </is>
      </c>
      <c r="J292" s="33" t="inlineStr">
        <is>
          <t>Done</t>
        </is>
      </c>
      <c r="K292" s="33" t="inlineStr">
        <is>
          <t>Done</t>
        </is>
      </c>
      <c r="L292" s="24" t="inlineStr">
        <is>
          <t>Not assessed</t>
        </is>
      </c>
      <c r="M292" s="24" t="inlineStr">
        <is>
          <t>Not assessed</t>
        </is>
      </c>
      <c r="N292" s="24" t="inlineStr">
        <is>
          <t>Not assessed</t>
        </is>
      </c>
      <c r="O292" s="35" t="n"/>
      <c r="P292" s="24" t="inlineStr">
        <is>
          <t>Not scheduled</t>
        </is>
      </c>
      <c r="Q292" s="24" t="n"/>
      <c r="R292" s="24" t="inlineStr">
        <is>
          <t>Permission catalogue only inside the role modal (in a tab, complete)</t>
        </is>
      </c>
      <c r="S292" s="24" t="n"/>
      <c r="T292" s="24" t="n"/>
      <c r="U292" s="36" t="n">
        <v>46285</v>
      </c>
      <c r="V292" s="24" t="n"/>
      <c r="W292" s="15">
        <f>IF(P292="Production",IF(X292="Yes","Released","Review release"),IF(P292="Rolled back","Rolled back",IF(OR(Q292&lt;&gt;"",COUNTIFS(J292:N292,"Blocked")&gt;0),"Blocked",IF(OR(M292="Failed",N292="Rejected",AND(ISNUMBER(O292),O292&gt;0)),"Rework",IF(X292="Yes","Ready for release",IF(N292="Accepted","Verify completion",IF(OR(M292="Passed",M292="In progress",N292="In review"),"Testing / review",IF(OR(COUNTIFS(J292:L292,"In progress")&gt;0,COUNTIFS(J292:L292,"In review")&gt;0,COUNTIFS(J292:L292,"Done")&gt;0),"In progress",IF(COUNTIFS(J292:N292,"Not assessed")=5,"Not assessed","Planned")))))))))</f>
        <v/>
      </c>
      <c r="X292" s="15">
        <f>IF(AND(J292="Done",OR(K292="Done",K292="Not required"),OR(L292="Done",L292="Not required"),M292="Passed",N292="Accepted",ISNUMBER(O292),O292=0,Q292="",F292&lt;&gt;"",S292&lt;&gt;"",T292&lt;&gt;"",ISNUMBER(U292),OR(AND(K292&lt;&gt;"Not required",L292&lt;&gt;"Not required"),V292&lt;&gt;""),P292&lt;&gt;"Rolled back"),"Yes","No")</f>
        <v/>
      </c>
      <c r="Y292" s="15">
        <f>IF(X292="Yes","Completed",IF(H292="","No deadline",IF(NOT(ISNUMBER(H292)),"Check date",IF(H292&lt;Overview!$I$3,"Overdue",IF(H292&lt;=Overview!$I$3+7,"Due soon","On track")))))</f>
        <v/>
      </c>
      <c r="Z292" s="37">
        <f>IF(AND(X292&lt;&gt;"Yes",ISNUMBER(H292)),MAX(0,Overview!$I$3-H292),0)</f>
        <v/>
      </c>
      <c r="AA292" s="5" t="inlineStr">
        <is>
          <t>IT Admin</t>
        </is>
      </c>
      <c r="AB292" t="inlineStr">
        <is>
          <t>/school/roles</t>
        </is>
      </c>
    </row>
    <row r="293" ht="35" customHeight="1">
      <c r="A293" s="2" t="inlineStr">
        <is>
          <t>SCR-287</t>
        </is>
      </c>
      <c r="B293" s="5" t="inlineStr">
        <is>
          <t>Role Permission Matrix</t>
        </is>
      </c>
      <c r="C293" s="5" t="inlineStr">
        <is>
          <t>Settings / Roles / Permissions / Audit</t>
        </is>
      </c>
      <c r="D293" s="2" t="inlineStr">
        <is>
          <t>MVP</t>
        </is>
      </c>
      <c r="E293" s="2" t="inlineStr">
        <is>
          <t>US-0573, US-0574</t>
        </is>
      </c>
      <c r="F293" s="24" t="n"/>
      <c r="G293" s="24" t="n"/>
      <c r="H293" s="32" t="n"/>
      <c r="I293" s="2" t="inlineStr">
        <is>
          <t>Ready</t>
        </is>
      </c>
      <c r="J293" s="38" t="inlineStr">
        <is>
          <t>In progress</t>
        </is>
      </c>
      <c r="K293" s="33" t="inlineStr">
        <is>
          <t>Done</t>
        </is>
      </c>
      <c r="L293" s="24" t="inlineStr">
        <is>
          <t>Not assessed</t>
        </is>
      </c>
      <c r="M293" s="24" t="inlineStr">
        <is>
          <t>Not assessed</t>
        </is>
      </c>
      <c r="N293" s="24" t="inlineStr">
        <is>
          <t>Not assessed</t>
        </is>
      </c>
      <c r="O293" s="35" t="n"/>
      <c r="P293" s="24" t="inlineStr">
        <is>
          <t>Not scheduled</t>
        </is>
      </c>
      <c r="Q293" s="24" t="n"/>
      <c r="R293" s="24" t="inlineStr">
        <is>
          <t>Per-role grid, no cross-role matrix</t>
        </is>
      </c>
      <c r="S293" s="24" t="n"/>
      <c r="T293" s="24" t="n"/>
      <c r="U293" s="36" t="n">
        <v>46285</v>
      </c>
      <c r="V293" s="24" t="n"/>
      <c r="W293" s="15">
        <f>IF(P293="Production",IF(X293="Yes","Released","Review release"),IF(P293="Rolled back","Rolled back",IF(OR(Q293&lt;&gt;"",COUNTIFS(J293:N293,"Blocked")&gt;0),"Blocked",IF(OR(M293="Failed",N293="Rejected",AND(ISNUMBER(O293),O293&gt;0)),"Rework",IF(X293="Yes","Ready for release",IF(N293="Accepted","Verify completion",IF(OR(M293="Passed",M293="In progress",N293="In review"),"Testing / review",IF(OR(COUNTIFS(J293:L293,"In progress")&gt;0,COUNTIFS(J293:L293,"In review")&gt;0,COUNTIFS(J293:L293,"Done")&gt;0),"In progress",IF(COUNTIFS(J293:N293,"Not assessed")=5,"Not assessed","Planned")))))))))</f>
        <v/>
      </c>
      <c r="X293" s="15">
        <f>IF(AND(J293="Done",OR(K293="Done",K293="Not required"),OR(L293="Done",L293="Not required"),M293="Passed",N293="Accepted",ISNUMBER(O293),O293=0,Q293="",F293&lt;&gt;"",S293&lt;&gt;"",T293&lt;&gt;"",ISNUMBER(U293),OR(AND(K293&lt;&gt;"Not required",L293&lt;&gt;"Not required"),V293&lt;&gt;""),P293&lt;&gt;"Rolled back"),"Yes","No")</f>
        <v/>
      </c>
      <c r="Y293" s="15">
        <f>IF(X293="Yes","Completed",IF(H293="","No deadline",IF(NOT(ISNUMBER(H293)),"Check date",IF(H293&lt;Overview!$I$3,"Overdue",IF(H293&lt;=Overview!$I$3+7,"Due soon","On track")))))</f>
        <v/>
      </c>
      <c r="Z293" s="37">
        <f>IF(AND(X293&lt;&gt;"Yes",ISNUMBER(H293)),MAX(0,Overview!$I$3-H293),0)</f>
        <v/>
      </c>
      <c r="AA293" s="5" t="inlineStr">
        <is>
          <t>IT Admin</t>
        </is>
      </c>
      <c r="AB293" t="inlineStr">
        <is>
          <t>/school/roles</t>
        </is>
      </c>
    </row>
    <row r="294" ht="35" customHeight="1">
      <c r="A294" s="2" t="inlineStr">
        <is>
          <t>SCR-288</t>
        </is>
      </c>
      <c r="B294" s="5" t="inlineStr">
        <is>
          <t>User Role Assignment</t>
        </is>
      </c>
      <c r="C294" s="5" t="inlineStr">
        <is>
          <t>Settings / Roles / Permissions / Audit</t>
        </is>
      </c>
      <c r="D294" s="2" t="inlineStr">
        <is>
          <t>MVP</t>
        </is>
      </c>
      <c r="E294" s="2" t="inlineStr">
        <is>
          <t>US-0575, US-0576</t>
        </is>
      </c>
      <c r="F294" s="24" t="n"/>
      <c r="G294" s="24" t="n"/>
      <c r="H294" s="32" t="n"/>
      <c r="I294" s="2" t="inlineStr">
        <is>
          <t>Ready</t>
        </is>
      </c>
      <c r="J294" s="33" t="inlineStr">
        <is>
          <t>Done</t>
        </is>
      </c>
      <c r="K294" s="33" t="inlineStr">
        <is>
          <t>Done</t>
        </is>
      </c>
      <c r="L294" s="24" t="inlineStr">
        <is>
          <t>Not assessed</t>
        </is>
      </c>
      <c r="M294" s="24" t="inlineStr">
        <is>
          <t>Not assessed</t>
        </is>
      </c>
      <c r="N294" s="24" t="inlineStr">
        <is>
          <t>Not assessed</t>
        </is>
      </c>
      <c r="O294" s="35" t="n"/>
      <c r="P294" s="24" t="inlineStr">
        <is>
          <t>Not scheduled</t>
        </is>
      </c>
      <c r="Q294" s="24" t="n"/>
      <c r="R294" s="24" t="inlineStr">
        <is>
          <t>Assign person, role and branch</t>
        </is>
      </c>
      <c r="S294" s="24" t="n"/>
      <c r="T294" s="24" t="n"/>
      <c r="U294" s="36" t="n">
        <v>46285</v>
      </c>
      <c r="V294" s="24" t="n"/>
      <c r="W294" s="15">
        <f>IF(P294="Production",IF(X294="Yes","Released","Review release"),IF(P294="Rolled back","Rolled back",IF(OR(Q294&lt;&gt;"",COUNTIFS(J294:N294,"Blocked")&gt;0),"Blocked",IF(OR(M294="Failed",N294="Rejected",AND(ISNUMBER(O294),O294&gt;0)),"Rework",IF(X294="Yes","Ready for release",IF(N294="Accepted","Verify completion",IF(OR(M294="Passed",M294="In progress",N294="In review"),"Testing / review",IF(OR(COUNTIFS(J294:L294,"In progress")&gt;0,COUNTIFS(J294:L294,"In review")&gt;0,COUNTIFS(J294:L294,"Done")&gt;0),"In progress",IF(COUNTIFS(J294:N294,"Not assessed")=5,"Not assessed","Planned")))))))))</f>
        <v/>
      </c>
      <c r="X294" s="15">
        <f>IF(AND(J294="Done",OR(K294="Done",K294="Not required"),OR(L294="Done",L294="Not required"),M294="Passed",N294="Accepted",ISNUMBER(O294),O294=0,Q294="",F294&lt;&gt;"",S294&lt;&gt;"",T294&lt;&gt;"",ISNUMBER(U294),OR(AND(K294&lt;&gt;"Not required",L294&lt;&gt;"Not required"),V294&lt;&gt;""),P294&lt;&gt;"Rolled back"),"Yes","No")</f>
        <v/>
      </c>
      <c r="Y294" s="15">
        <f>IF(X294="Yes","Completed",IF(H294="","No deadline",IF(NOT(ISNUMBER(H294)),"Check date",IF(H294&lt;Overview!$I$3,"Overdue",IF(H294&lt;=Overview!$I$3+7,"Due soon","On track")))))</f>
        <v/>
      </c>
      <c r="Z294" s="37">
        <f>IF(AND(X294&lt;&gt;"Yes",ISNUMBER(H294)),MAX(0,Overview!$I$3-H294),0)</f>
        <v/>
      </c>
      <c r="AA294" s="5" t="inlineStr">
        <is>
          <t>IT Admin</t>
        </is>
      </c>
      <c r="AB294" t="inlineStr">
        <is>
          <t>/school/roles</t>
        </is>
      </c>
    </row>
    <row r="295" ht="35" customHeight="1">
      <c r="A295" s="2" t="inlineStr">
        <is>
          <t>SCR-289</t>
        </is>
      </c>
      <c r="B295" s="5" t="inlineStr">
        <is>
          <t>School Settings</t>
        </is>
      </c>
      <c r="C295" s="5" t="inlineStr">
        <is>
          <t>Settings / Roles / Permissions / Audit</t>
        </is>
      </c>
      <c r="D295" s="2" t="inlineStr">
        <is>
          <t>Phase 2</t>
        </is>
      </c>
      <c r="E295" s="2" t="inlineStr">
        <is>
          <t>US-0577, US-0578</t>
        </is>
      </c>
      <c r="F295" s="24" t="n"/>
      <c r="G295" s="24" t="n"/>
      <c r="H295" s="32" t="n"/>
      <c r="I295" s="2" t="inlineStr">
        <is>
          <t>Ready</t>
        </is>
      </c>
      <c r="J295" s="33" t="inlineStr">
        <is>
          <t>Done</t>
        </is>
      </c>
      <c r="K295" s="33" t="inlineStr">
        <is>
          <t>Done</t>
        </is>
      </c>
      <c r="L295" s="24" t="inlineStr">
        <is>
          <t>Not assessed</t>
        </is>
      </c>
      <c r="M295" s="24" t="inlineStr">
        <is>
          <t>Not assessed</t>
        </is>
      </c>
      <c r="N295" s="24" t="inlineStr">
        <is>
          <t>Not assessed</t>
        </is>
      </c>
      <c r="O295" s="35" t="n"/>
      <c r="P295" s="24" t="inlineStr">
        <is>
          <t>Not scheduled</t>
        </is>
      </c>
      <c r="Q295" s="24" t="n"/>
      <c r="R295" s="24" t="inlineStr">
        <is>
          <t>Settings index with set-up state</t>
        </is>
      </c>
      <c r="S295" s="24" t="n"/>
      <c r="T295" s="24" t="n"/>
      <c r="U295" s="36" t="n">
        <v>46285</v>
      </c>
      <c r="V295" s="24" t="n"/>
      <c r="W295" s="15">
        <f>IF(P295="Production",IF(X295="Yes","Released","Review release"),IF(P295="Rolled back","Rolled back",IF(OR(Q295&lt;&gt;"",COUNTIFS(J295:N295,"Blocked")&gt;0),"Blocked",IF(OR(M295="Failed",N295="Rejected",AND(ISNUMBER(O295),O295&gt;0)),"Rework",IF(X295="Yes","Ready for release",IF(N295="Accepted","Verify completion",IF(OR(M295="Passed",M295="In progress",N295="In review"),"Testing / review",IF(OR(COUNTIFS(J295:L295,"In progress")&gt;0,COUNTIFS(J295:L295,"In review")&gt;0,COUNTIFS(J295:L295,"Done")&gt;0),"In progress",IF(COUNTIFS(J295:N295,"Not assessed")=5,"Not assessed","Planned")))))))))</f>
        <v/>
      </c>
      <c r="X295" s="15">
        <f>IF(AND(J295="Done",OR(K295="Done",K295="Not required"),OR(L295="Done",L295="Not required"),M295="Passed",N295="Accepted",ISNUMBER(O295),O295=0,Q295="",F295&lt;&gt;"",S295&lt;&gt;"",T295&lt;&gt;"",ISNUMBER(U295),OR(AND(K295&lt;&gt;"Not required",L295&lt;&gt;"Not required"),V295&lt;&gt;""),P295&lt;&gt;"Rolled back"),"Yes","No")</f>
        <v/>
      </c>
      <c r="Y295" s="15">
        <f>IF(X295="Yes","Completed",IF(H295="","No deadline",IF(NOT(ISNUMBER(H295)),"Check date",IF(H295&lt;Overview!$I$3,"Overdue",IF(H295&lt;=Overview!$I$3+7,"Due soon","On track")))))</f>
        <v/>
      </c>
      <c r="Z295" s="37">
        <f>IF(AND(X295&lt;&gt;"Yes",ISNUMBER(H295)),MAX(0,Overview!$I$3-H295),0)</f>
        <v/>
      </c>
      <c r="AA295" s="5" t="inlineStr">
        <is>
          <t>IT Admin</t>
        </is>
      </c>
      <c r="AB295" t="inlineStr">
        <is>
          <t>/school/settings</t>
        </is>
      </c>
    </row>
    <row r="296" ht="35" customHeight="1">
      <c r="A296" s="2" t="inlineStr">
        <is>
          <t>SCR-290</t>
        </is>
      </c>
      <c r="B296" s="5" t="inlineStr">
        <is>
          <t>Academic Settings</t>
        </is>
      </c>
      <c r="C296" s="5" t="inlineStr">
        <is>
          <t>Settings / Roles / Permissions / Audit</t>
        </is>
      </c>
      <c r="D296" s="2" t="inlineStr">
        <is>
          <t>Phase 2</t>
        </is>
      </c>
      <c r="E296" s="2" t="inlineStr">
        <is>
          <t>US-0579, US-0580</t>
        </is>
      </c>
      <c r="F296" s="24" t="n"/>
      <c r="G296" s="24" t="n"/>
      <c r="H296" s="32" t="n"/>
      <c r="I296" s="2" t="inlineStr">
        <is>
          <t>Ready</t>
        </is>
      </c>
      <c r="J296" s="33" t="inlineStr">
        <is>
          <t>Done</t>
        </is>
      </c>
      <c r="K296" s="33" t="inlineStr">
        <is>
          <t>Done</t>
        </is>
      </c>
      <c r="L296" s="24" t="inlineStr">
        <is>
          <t>Not assessed</t>
        </is>
      </c>
      <c r="M296" s="24" t="inlineStr">
        <is>
          <t>Not assessed</t>
        </is>
      </c>
      <c r="N296" s="24" t="inlineStr">
        <is>
          <t>Not assessed</t>
        </is>
      </c>
      <c r="O296" s="35" t="n"/>
      <c r="P296" s="24" t="inlineStr">
        <is>
          <t>Not scheduled</t>
        </is>
      </c>
      <c r="Q296" s="24" t="n"/>
      <c r="R296" s="24" t="inlineStr">
        <is>
          <t>Grade scales and report-card settings</t>
        </is>
      </c>
      <c r="S296" s="24" t="n"/>
      <c r="T296" s="24" t="n"/>
      <c r="U296" s="36" t="n">
        <v>46285</v>
      </c>
      <c r="V296" s="24" t="n"/>
      <c r="W296" s="15">
        <f>IF(P296="Production",IF(X296="Yes","Released","Review release"),IF(P296="Rolled back","Rolled back",IF(OR(Q296&lt;&gt;"",COUNTIFS(J296:N296,"Blocked")&gt;0),"Blocked",IF(OR(M296="Failed",N296="Rejected",AND(ISNUMBER(O296),O296&gt;0)),"Rework",IF(X296="Yes","Ready for release",IF(N296="Accepted","Verify completion",IF(OR(M296="Passed",M296="In progress",N296="In review"),"Testing / review",IF(OR(COUNTIFS(J296:L296,"In progress")&gt;0,COUNTIFS(J296:L296,"In review")&gt;0,COUNTIFS(J296:L296,"Done")&gt;0),"In progress",IF(COUNTIFS(J296:N296,"Not assessed")=5,"Not assessed","Planned")))))))))</f>
        <v/>
      </c>
      <c r="X296" s="15">
        <f>IF(AND(J296="Done",OR(K296="Done",K296="Not required"),OR(L296="Done",L296="Not required"),M296="Passed",N296="Accepted",ISNUMBER(O296),O296=0,Q296="",F296&lt;&gt;"",S296&lt;&gt;"",T296&lt;&gt;"",ISNUMBER(U296),OR(AND(K296&lt;&gt;"Not required",L296&lt;&gt;"Not required"),V296&lt;&gt;""),P296&lt;&gt;"Rolled back"),"Yes","No")</f>
        <v/>
      </c>
      <c r="Y296" s="15">
        <f>IF(X296="Yes","Completed",IF(H296="","No deadline",IF(NOT(ISNUMBER(H296)),"Check date",IF(H296&lt;Overview!$I$3,"Overdue",IF(H296&lt;=Overview!$I$3+7,"Due soon","On track")))))</f>
        <v/>
      </c>
      <c r="Z296" s="37">
        <f>IF(AND(X296&lt;&gt;"Yes",ISNUMBER(H296)),MAX(0,Overview!$I$3-H296),0)</f>
        <v/>
      </c>
      <c r="AA296" s="5" t="inlineStr">
        <is>
          <t>IT Admin</t>
        </is>
      </c>
      <c r="AB296" t="inlineStr">
        <is>
          <t>/school/grading</t>
        </is>
      </c>
    </row>
    <row r="297" ht="35" customHeight="1">
      <c r="A297" s="2" t="inlineStr">
        <is>
          <t>SCR-291</t>
        </is>
      </c>
      <c r="B297" s="5" t="inlineStr">
        <is>
          <t>Notification Settings</t>
        </is>
      </c>
      <c r="C297" s="5" t="inlineStr">
        <is>
          <t>Settings / Roles / Permissions / Audit</t>
        </is>
      </c>
      <c r="D297" s="2" t="inlineStr">
        <is>
          <t>Phase 2</t>
        </is>
      </c>
      <c r="E297" s="2" t="inlineStr">
        <is>
          <t>US-0581, US-0582</t>
        </is>
      </c>
      <c r="F297" s="24" t="n"/>
      <c r="G297" s="24" t="n"/>
      <c r="H297" s="32" t="n"/>
      <c r="I297" s="2" t="inlineStr">
        <is>
          <t>Ready</t>
        </is>
      </c>
      <c r="J297" s="39" t="inlineStr">
        <is>
          <t>Not started</t>
        </is>
      </c>
      <c r="K297" s="39" t="inlineStr">
        <is>
          <t>Not started</t>
        </is>
      </c>
      <c r="L297" s="24" t="inlineStr">
        <is>
          <t>Not assessed</t>
        </is>
      </c>
      <c r="M297" s="24" t="inlineStr">
        <is>
          <t>Not assessed</t>
        </is>
      </c>
      <c r="N297" s="24" t="inlineStr">
        <is>
          <t>Not assessed</t>
        </is>
      </c>
      <c r="O297" s="35" t="n"/>
      <c r="P297" s="24" t="inlineStr">
        <is>
          <t>Not scheduled</t>
        </is>
      </c>
      <c r="Q297" s="24" t="n"/>
      <c r="R297" s="24" t="inlineStr">
        <is>
          <t>No notification channel or template settings</t>
        </is>
      </c>
      <c r="S297" s="24" t="n"/>
      <c r="T297" s="24" t="n"/>
      <c r="U297" s="36" t="n">
        <v>46285</v>
      </c>
      <c r="V297" s="24" t="n"/>
      <c r="W297" s="15">
        <f>IF(P297="Production",IF(X297="Yes","Released","Review release"),IF(P297="Rolled back","Rolled back",IF(OR(Q297&lt;&gt;"",COUNTIFS(J297:N297,"Blocked")&gt;0),"Blocked",IF(OR(M297="Failed",N297="Rejected",AND(ISNUMBER(O297),O297&gt;0)),"Rework",IF(X297="Yes","Ready for release",IF(N297="Accepted","Verify completion",IF(OR(M297="Passed",M297="In progress",N297="In review"),"Testing / review",IF(OR(COUNTIFS(J297:L297,"In progress")&gt;0,COUNTIFS(J297:L297,"In review")&gt;0,COUNTIFS(J297:L297,"Done")&gt;0),"In progress",IF(COUNTIFS(J297:N297,"Not assessed")=5,"Not assessed","Planned")))))))))</f>
        <v/>
      </c>
      <c r="X297" s="15">
        <f>IF(AND(J297="Done",OR(K297="Done",K297="Not required"),OR(L297="Done",L297="Not required"),M297="Passed",N297="Accepted",ISNUMBER(O297),O297=0,Q297="",F297&lt;&gt;"",S297&lt;&gt;"",T297&lt;&gt;"",ISNUMBER(U297),OR(AND(K297&lt;&gt;"Not required",L297&lt;&gt;"Not required"),V297&lt;&gt;""),P297&lt;&gt;"Rolled back"),"Yes","No")</f>
        <v/>
      </c>
      <c r="Y297" s="15">
        <f>IF(X297="Yes","Completed",IF(H297="","No deadline",IF(NOT(ISNUMBER(H297)),"Check date",IF(H297&lt;Overview!$I$3,"Overdue",IF(H297&lt;=Overview!$I$3+7,"Due soon","On track")))))</f>
        <v/>
      </c>
      <c r="Z297" s="37">
        <f>IF(AND(X297&lt;&gt;"Yes",ISNUMBER(H297)),MAX(0,Overview!$I$3-H297),0)</f>
        <v/>
      </c>
      <c r="AA297" s="5" t="inlineStr">
        <is>
          <t>IT Admin</t>
        </is>
      </c>
      <c r="AB297" t="inlineStr">
        <is>
          <t>-</t>
        </is>
      </c>
    </row>
    <row r="298" ht="35" customHeight="1">
      <c r="A298" s="2" t="inlineStr">
        <is>
          <t>SCR-292</t>
        </is>
      </c>
      <c r="B298" s="5" t="inlineStr">
        <is>
          <t>Integration / API Settings</t>
        </is>
      </c>
      <c r="C298" s="5" t="inlineStr">
        <is>
          <t>Settings / Roles / Permissions / Audit</t>
        </is>
      </c>
      <c r="D298" s="2" t="inlineStr">
        <is>
          <t>Phase 3</t>
        </is>
      </c>
      <c r="E298" s="2" t="inlineStr">
        <is>
          <t>US-0583, US-0584</t>
        </is>
      </c>
      <c r="F298" s="24" t="n"/>
      <c r="G298" s="24" t="n"/>
      <c r="H298" s="32" t="n"/>
      <c r="I298" s="2" t="inlineStr">
        <is>
          <t>Ready</t>
        </is>
      </c>
      <c r="J298" s="33" t="inlineStr">
        <is>
          <t>Done</t>
        </is>
      </c>
      <c r="K298" s="33" t="inlineStr">
        <is>
          <t>Done</t>
        </is>
      </c>
      <c r="L298" s="24" t="inlineStr">
        <is>
          <t>Not assessed</t>
        </is>
      </c>
      <c r="M298" s="24" t="inlineStr">
        <is>
          <t>Not assessed</t>
        </is>
      </c>
      <c r="N298" s="24" t="inlineStr">
        <is>
          <t>Not assessed</t>
        </is>
      </c>
      <c r="O298" s="35" t="n"/>
      <c r="P298" s="24" t="inlineStr">
        <is>
          <t>Not scheduled</t>
        </is>
      </c>
      <c r="Q298" s="24" t="n"/>
      <c r="R298" s="24" t="inlineStr">
        <is>
          <t>Outside services and whether they are connected</t>
        </is>
      </c>
      <c r="S298" s="24" t="n"/>
      <c r="T298" s="24" t="n"/>
      <c r="U298" s="36" t="n">
        <v>46285</v>
      </c>
      <c r="V298" s="24" t="n"/>
      <c r="W298" s="15">
        <f>IF(P298="Production",IF(X298="Yes","Released","Review release"),IF(P298="Rolled back","Rolled back",IF(OR(Q298&lt;&gt;"",COUNTIFS(J298:N298,"Blocked")&gt;0),"Blocked",IF(OR(M298="Failed",N298="Rejected",AND(ISNUMBER(O298),O298&gt;0)),"Rework",IF(X298="Yes","Ready for release",IF(N298="Accepted","Verify completion",IF(OR(M298="Passed",M298="In progress",N298="In review"),"Testing / review",IF(OR(COUNTIFS(J298:L298,"In progress")&gt;0,COUNTIFS(J298:L298,"In review")&gt;0,COUNTIFS(J298:L298,"Done")&gt;0),"In progress",IF(COUNTIFS(J298:N298,"Not assessed")=5,"Not assessed","Planned")))))))))</f>
        <v/>
      </c>
      <c r="X298" s="15">
        <f>IF(AND(J298="Done",OR(K298="Done",K298="Not required"),OR(L298="Done",L298="Not required"),M298="Passed",N298="Accepted",ISNUMBER(O298),O298=0,Q298="",F298&lt;&gt;"",S298&lt;&gt;"",T298&lt;&gt;"",ISNUMBER(U298),OR(AND(K298&lt;&gt;"Not required",L298&lt;&gt;"Not required"),V298&lt;&gt;""),P298&lt;&gt;"Rolled back"),"Yes","No")</f>
        <v/>
      </c>
      <c r="Y298" s="15">
        <f>IF(X298="Yes","Completed",IF(H298="","No deadline",IF(NOT(ISNUMBER(H298)),"Check date",IF(H298&lt;Overview!$I$3,"Overdue",IF(H298&lt;=Overview!$I$3+7,"Due soon","On track")))))</f>
        <v/>
      </c>
      <c r="Z298" s="37">
        <f>IF(AND(X298&lt;&gt;"Yes",ISNUMBER(H298)),MAX(0,Overview!$I$3-H298),0)</f>
        <v/>
      </c>
      <c r="AA298" s="5" t="inlineStr">
        <is>
          <t>IT Admin</t>
        </is>
      </c>
      <c r="AB298" t="inlineStr">
        <is>
          <t>/school/settings</t>
        </is>
      </c>
    </row>
    <row r="299" ht="35" customHeight="1">
      <c r="A299" s="2" t="inlineStr">
        <is>
          <t>SCR-293</t>
        </is>
      </c>
      <c r="B299" s="5" t="inlineStr">
        <is>
          <t>Security &amp; Password Policy</t>
        </is>
      </c>
      <c r="C299" s="5" t="inlineStr">
        <is>
          <t>Settings / Roles / Permissions / Audit</t>
        </is>
      </c>
      <c r="D299" s="2" t="inlineStr">
        <is>
          <t>Phase 3</t>
        </is>
      </c>
      <c r="E299" s="2" t="inlineStr">
        <is>
          <t>US-0585, US-0586</t>
        </is>
      </c>
      <c r="F299" s="24" t="n"/>
      <c r="G299" s="24" t="n"/>
      <c r="H299" s="32" t="n"/>
      <c r="I299" s="2" t="inlineStr">
        <is>
          <t>Ready</t>
        </is>
      </c>
      <c r="J299" s="39" t="inlineStr">
        <is>
          <t>Not started</t>
        </is>
      </c>
      <c r="K299" s="39" t="inlineStr">
        <is>
          <t>Not started</t>
        </is>
      </c>
      <c r="L299" s="24" t="inlineStr">
        <is>
          <t>Not assessed</t>
        </is>
      </c>
      <c r="M299" s="24" t="inlineStr">
        <is>
          <t>Not assessed</t>
        </is>
      </c>
      <c r="N299" s="24" t="inlineStr">
        <is>
          <t>Not assessed</t>
        </is>
      </c>
      <c r="O299" s="35" t="n"/>
      <c r="P299" s="24" t="inlineStr">
        <is>
          <t>Not scheduled</t>
        </is>
      </c>
      <c r="Q299" s="24" t="n"/>
      <c r="R299" s="24" t="inlineStr">
        <is>
          <t>No password policy anywhere</t>
        </is>
      </c>
      <c r="S299" s="24" t="n"/>
      <c r="T299" s="24" t="n"/>
      <c r="U299" s="36" t="n">
        <v>46285</v>
      </c>
      <c r="V299" s="24" t="n"/>
      <c r="W299" s="15">
        <f>IF(P299="Production",IF(X299="Yes","Released","Review release"),IF(P299="Rolled back","Rolled back",IF(OR(Q299&lt;&gt;"",COUNTIFS(J299:N299,"Blocked")&gt;0),"Blocked",IF(OR(M299="Failed",N299="Rejected",AND(ISNUMBER(O299),O299&gt;0)),"Rework",IF(X299="Yes","Ready for release",IF(N299="Accepted","Verify completion",IF(OR(M299="Passed",M299="In progress",N299="In review"),"Testing / review",IF(OR(COUNTIFS(J299:L299,"In progress")&gt;0,COUNTIFS(J299:L299,"In review")&gt;0,COUNTIFS(J299:L299,"Done")&gt;0),"In progress",IF(COUNTIFS(J299:N299,"Not assessed")=5,"Not assessed","Planned")))))))))</f>
        <v/>
      </c>
      <c r="X299" s="15">
        <f>IF(AND(J299="Done",OR(K299="Done",K299="Not required"),OR(L299="Done",L299="Not required"),M299="Passed",N299="Accepted",ISNUMBER(O299),O299=0,Q299="",F299&lt;&gt;"",S299&lt;&gt;"",T299&lt;&gt;"",ISNUMBER(U299),OR(AND(K299&lt;&gt;"Not required",L299&lt;&gt;"Not required"),V299&lt;&gt;""),P299&lt;&gt;"Rolled back"),"Yes","No")</f>
        <v/>
      </c>
      <c r="Y299" s="15">
        <f>IF(X299="Yes","Completed",IF(H299="","No deadline",IF(NOT(ISNUMBER(H299)),"Check date",IF(H299&lt;Overview!$I$3,"Overdue",IF(H299&lt;=Overview!$I$3+7,"Due soon","On track")))))</f>
        <v/>
      </c>
      <c r="Z299" s="37">
        <f>IF(AND(X299&lt;&gt;"Yes",ISNUMBER(H299)),MAX(0,Overview!$I$3-H299),0)</f>
        <v/>
      </c>
      <c r="AA299" s="5" t="inlineStr">
        <is>
          <t>IT Admin</t>
        </is>
      </c>
      <c r="AB299" t="inlineStr">
        <is>
          <t>-</t>
        </is>
      </c>
    </row>
    <row r="300" ht="35" customHeight="1">
      <c r="A300" s="2" t="inlineStr">
        <is>
          <t>SCR-294</t>
        </is>
      </c>
      <c r="B300" s="5" t="inlineStr">
        <is>
          <t>Audit Logs</t>
        </is>
      </c>
      <c r="C300" s="5" t="inlineStr">
        <is>
          <t>Settings / Roles / Permissions / Audit</t>
        </is>
      </c>
      <c r="D300" s="2" t="inlineStr">
        <is>
          <t>Phase 3</t>
        </is>
      </c>
      <c r="E300" s="2" t="inlineStr">
        <is>
          <t>US-0587, US-0588</t>
        </is>
      </c>
      <c r="F300" s="24" t="n"/>
      <c r="G300" s="24" t="n"/>
      <c r="H300" s="32" t="n"/>
      <c r="I300" s="2" t="inlineStr">
        <is>
          <t>Ready</t>
        </is>
      </c>
      <c r="J300" s="33" t="inlineStr">
        <is>
          <t>Done</t>
        </is>
      </c>
      <c r="K300" s="33" t="inlineStr">
        <is>
          <t>Done</t>
        </is>
      </c>
      <c r="L300" s="24" t="inlineStr">
        <is>
          <t>Not assessed</t>
        </is>
      </c>
      <c r="M300" s="24" t="inlineStr">
        <is>
          <t>Not assessed</t>
        </is>
      </c>
      <c r="N300" s="24" t="inlineStr">
        <is>
          <t>Not assessed</t>
        </is>
      </c>
      <c r="O300" s="35" t="n"/>
      <c r="P300" s="24" t="inlineStr">
        <is>
          <t>Not scheduled</t>
        </is>
      </c>
      <c r="Q300" s="24" t="n"/>
      <c r="R300" s="24" t="inlineStr">
        <is>
          <t>Filtered list with CSV export</t>
        </is>
      </c>
      <c r="S300" s="24" t="n"/>
      <c r="T300" s="24" t="n"/>
      <c r="U300" s="36" t="n">
        <v>46285</v>
      </c>
      <c r="V300" s="24" t="n"/>
      <c r="W300" s="15">
        <f>IF(P300="Production",IF(X300="Yes","Released","Review release"),IF(P300="Rolled back","Rolled back",IF(OR(Q300&lt;&gt;"",COUNTIFS(J300:N300,"Blocked")&gt;0),"Blocked",IF(OR(M300="Failed",N300="Rejected",AND(ISNUMBER(O300),O300&gt;0)),"Rework",IF(X300="Yes","Ready for release",IF(N300="Accepted","Verify completion",IF(OR(M300="Passed",M300="In progress",N300="In review"),"Testing / review",IF(OR(COUNTIFS(J300:L300,"In progress")&gt;0,COUNTIFS(J300:L300,"In review")&gt;0,COUNTIFS(J300:L300,"Done")&gt;0),"In progress",IF(COUNTIFS(J300:N300,"Not assessed")=5,"Not assessed","Planned")))))))))</f>
        <v/>
      </c>
      <c r="X300" s="15">
        <f>IF(AND(J300="Done",OR(K300="Done",K300="Not required"),OR(L300="Done",L300="Not required"),M300="Passed",N300="Accepted",ISNUMBER(O300),O300=0,Q300="",F300&lt;&gt;"",S300&lt;&gt;"",T300&lt;&gt;"",ISNUMBER(U300),OR(AND(K300&lt;&gt;"Not required",L300&lt;&gt;"Not required"),V300&lt;&gt;""),P300&lt;&gt;"Rolled back"),"Yes","No")</f>
        <v/>
      </c>
      <c r="Y300" s="15">
        <f>IF(X300="Yes","Completed",IF(H300="","No deadline",IF(NOT(ISNUMBER(H300)),"Check date",IF(H300&lt;Overview!$I$3,"Overdue",IF(H300&lt;=Overview!$I$3+7,"Due soon","On track")))))</f>
        <v/>
      </c>
      <c r="Z300" s="37">
        <f>IF(AND(X300&lt;&gt;"Yes",ISNUMBER(H300)),MAX(0,Overview!$I$3-H300),0)</f>
        <v/>
      </c>
      <c r="AA300" s="5" t="inlineStr">
        <is>
          <t>IT Admin</t>
        </is>
      </c>
      <c r="AB300" t="inlineStr">
        <is>
          <t>/school/audit-log</t>
        </is>
      </c>
    </row>
    <row r="301" ht="35" customHeight="1">
      <c r="A301" s="2" t="inlineStr">
        <is>
          <t>SCR-295</t>
        </is>
      </c>
      <c r="B301" s="5" t="inlineStr">
        <is>
          <t>Data Import / Export / Backup</t>
        </is>
      </c>
      <c r="C301" s="5" t="inlineStr">
        <is>
          <t>Settings / Roles / Permissions / Audit</t>
        </is>
      </c>
      <c r="D301" s="2" t="inlineStr">
        <is>
          <t>Phase 3</t>
        </is>
      </c>
      <c r="E301" s="2" t="inlineStr">
        <is>
          <t>US-0589, US-0590</t>
        </is>
      </c>
      <c r="F301" s="24" t="n"/>
      <c r="G301" s="24" t="n"/>
      <c r="H301" s="32" t="n"/>
      <c r="I301" s="2" t="inlineStr">
        <is>
          <t>Ready</t>
        </is>
      </c>
      <c r="J301" s="33" t="inlineStr">
        <is>
          <t>Done</t>
        </is>
      </c>
      <c r="K301" s="38" t="inlineStr">
        <is>
          <t>In progress</t>
        </is>
      </c>
      <c r="L301" s="24" t="inlineStr">
        <is>
          <t>Not assessed</t>
        </is>
      </c>
      <c r="M301" s="24" t="inlineStr">
        <is>
          <t>Not assessed</t>
        </is>
      </c>
      <c r="N301" s="24" t="inlineStr">
        <is>
          <t>Not assessed</t>
        </is>
      </c>
      <c r="O301" s="35" t="n"/>
      <c r="P301" s="24" t="inlineStr">
        <is>
          <t>Not scheduled</t>
        </is>
      </c>
      <c r="Q301" s="24" t="n"/>
      <c r="R301" s="24" t="inlineStr">
        <is>
          <t>Import and export done; no backup or restore</t>
        </is>
      </c>
      <c r="S301" s="24" t="n"/>
      <c r="T301" s="24" t="n"/>
      <c r="U301" s="36" t="n">
        <v>46285</v>
      </c>
      <c r="V301" s="24" t="n"/>
      <c r="W301" s="15">
        <f>IF(P301="Production",IF(X301="Yes","Released","Review release"),IF(P301="Rolled back","Rolled back",IF(OR(Q301&lt;&gt;"",COUNTIFS(J301:N301,"Blocked")&gt;0),"Blocked",IF(OR(M301="Failed",N301="Rejected",AND(ISNUMBER(O301),O301&gt;0)),"Rework",IF(X301="Yes","Ready for release",IF(N301="Accepted","Verify completion",IF(OR(M301="Passed",M301="In progress",N301="In review"),"Testing / review",IF(OR(COUNTIFS(J301:L301,"In progress")&gt;0,COUNTIFS(J301:L301,"In review")&gt;0,COUNTIFS(J301:L301,"Done")&gt;0),"In progress",IF(COUNTIFS(J301:N301,"Not assessed")=5,"Not assessed","Planned")))))))))</f>
        <v/>
      </c>
      <c r="X301" s="15">
        <f>IF(AND(J301="Done",OR(K301="Done",K301="Not required"),OR(L301="Done",L301="Not required"),M301="Passed",N301="Accepted",ISNUMBER(O301),O301=0,Q301="",F301&lt;&gt;"",S301&lt;&gt;"",T301&lt;&gt;"",ISNUMBER(U301),OR(AND(K301&lt;&gt;"Not required",L301&lt;&gt;"Not required"),V301&lt;&gt;""),P301&lt;&gt;"Rolled back"),"Yes","No")</f>
        <v/>
      </c>
      <c r="Y301" s="15">
        <f>IF(X301="Yes","Completed",IF(H301="","No deadline",IF(NOT(ISNUMBER(H301)),"Check date",IF(H301&lt;Overview!$I$3,"Overdue",IF(H301&lt;=Overview!$I$3+7,"Due soon","On track")))))</f>
        <v/>
      </c>
      <c r="Z301" s="37">
        <f>IF(AND(X301&lt;&gt;"Yes",ISNUMBER(H301)),MAX(0,Overview!$I$3-H301),0)</f>
        <v/>
      </c>
      <c r="AA301" s="5" t="inlineStr">
        <is>
          <t>IT Admin</t>
        </is>
      </c>
      <c r="AB301" t="inlineStr">
        <is>
          <t>/school/data-desk</t>
        </is>
      </c>
    </row>
    <row r="302" ht="35" customHeight="1">
      <c r="A302" s="2" t="inlineStr">
        <is>
          <t>SCR-296</t>
        </is>
      </c>
      <c r="B302" s="5" t="inlineStr">
        <is>
          <t>Notification Center</t>
        </is>
      </c>
      <c r="C302" s="5" t="inlineStr">
        <is>
          <t>Events / PTM / Communication</t>
        </is>
      </c>
      <c r="D302" s="2" t="inlineStr">
        <is>
          <t>MVP</t>
        </is>
      </c>
      <c r="E302" s="2" t="inlineStr">
        <is>
          <t>US-0591, US-0592</t>
        </is>
      </c>
      <c r="F302" s="24" t="n"/>
      <c r="G302" s="24" t="n"/>
      <c r="H302" s="32" t="n"/>
      <c r="I302" s="2" t="inlineStr">
        <is>
          <t>Ready</t>
        </is>
      </c>
      <c r="J302" s="38" t="inlineStr">
        <is>
          <t>In progress</t>
        </is>
      </c>
      <c r="K302" s="38" t="inlineStr">
        <is>
          <t>In progress</t>
        </is>
      </c>
      <c r="L302" s="24" t="inlineStr">
        <is>
          <t>Not assessed</t>
        </is>
      </c>
      <c r="M302" s="24" t="inlineStr">
        <is>
          <t>Not assessed</t>
        </is>
      </c>
      <c r="N302" s="24" t="inlineStr">
        <is>
          <t>Not assessed</t>
        </is>
      </c>
      <c r="O302" s="35" t="n"/>
      <c r="P302" s="24" t="inlineStr">
        <is>
          <t>Not scheduled</t>
        </is>
      </c>
      <c r="Q302" s="24" t="n"/>
      <c r="R302" s="24" t="inlineStr">
        <is>
          <t>Parents only; staff have no inbox page</t>
        </is>
      </c>
      <c r="S302" s="24" t="n"/>
      <c r="T302" s="24" t="n"/>
      <c r="U302" s="36" t="n">
        <v>46285</v>
      </c>
      <c r="V302" s="24" t="n"/>
      <c r="W302" s="15">
        <f>IF(P302="Production",IF(X302="Yes","Released","Review release"),IF(P302="Rolled back","Rolled back",IF(OR(Q302&lt;&gt;"",COUNTIFS(J302:N302,"Blocked")&gt;0),"Blocked",IF(OR(M302="Failed",N302="Rejected",AND(ISNUMBER(O302),O302&gt;0)),"Rework",IF(X302="Yes","Ready for release",IF(N302="Accepted","Verify completion",IF(OR(M302="Passed",M302="In progress",N302="In review"),"Testing / review",IF(OR(COUNTIFS(J302:L302,"In progress")&gt;0,COUNTIFS(J302:L302,"In review")&gt;0,COUNTIFS(J302:L302,"Done")&gt;0),"In progress",IF(COUNTIFS(J302:N302,"Not assessed")=5,"Not assessed","Planned")))))))))</f>
        <v/>
      </c>
      <c r="X302" s="15">
        <f>IF(AND(J302="Done",OR(K302="Done",K302="Not required"),OR(L302="Done",L302="Not required"),M302="Passed",N302="Accepted",ISNUMBER(O302),O302=0,Q302="",F302&lt;&gt;"",S302&lt;&gt;"",T302&lt;&gt;"",ISNUMBER(U302),OR(AND(K302&lt;&gt;"Not required",L302&lt;&gt;"Not required"),V302&lt;&gt;""),P302&lt;&gt;"Rolled back"),"Yes","No")</f>
        <v/>
      </c>
      <c r="Y302" s="15">
        <f>IF(X302="Yes","Completed",IF(H302="","No deadline",IF(NOT(ISNUMBER(H302)),"Check date",IF(H302&lt;Overview!$I$3,"Overdue",IF(H302&lt;=Overview!$I$3+7,"Due soon","On track")))))</f>
        <v/>
      </c>
      <c r="Z302" s="37">
        <f>IF(AND(X302&lt;&gt;"Yes",ISNUMBER(H302)),MAX(0,Overview!$I$3-H302),0)</f>
        <v/>
      </c>
      <c r="AA302" s="5" t="inlineStr">
        <is>
          <t>All Users</t>
        </is>
      </c>
      <c r="AB302" t="inlineStr">
        <is>
          <t>/parent/notices</t>
        </is>
      </c>
    </row>
  </sheetData>
  <mergeCells count="3">
    <mergeCell ref="A4:I4"/>
    <mergeCell ref="A2:H2"/>
    <mergeCell ref="A3:I3"/>
  </mergeCells>
  <conditionalFormatting sqref="J7:J302">
    <cfRule type="expression" priority="1" dxfId="0">
      <formula>J7="Done"</formula>
    </cfRule>
    <cfRule type="expression" priority="2" dxfId="0">
      <formula>J7="Passed"</formula>
    </cfRule>
    <cfRule type="expression" priority="3" dxfId="0">
      <formula>J7="Accepted"</formula>
    </cfRule>
    <cfRule type="expression" priority="4" dxfId="3">
      <formula>J7="Blocked"</formula>
    </cfRule>
    <cfRule type="expression" priority="5" dxfId="3">
      <formula>J7="Failed"</formula>
    </cfRule>
    <cfRule type="expression" priority="6" dxfId="3">
      <formula>J7="Rejected"</formula>
    </cfRule>
    <cfRule type="expression" priority="7" dxfId="6">
      <formula>J7="Not assessed"</formula>
    </cfRule>
  </conditionalFormatting>
  <conditionalFormatting sqref="K7:K302">
    <cfRule type="expression" priority="8" dxfId="0">
      <formula>K7="Done"</formula>
    </cfRule>
    <cfRule type="expression" priority="9" dxfId="0">
      <formula>K7="Passed"</formula>
    </cfRule>
    <cfRule type="expression" priority="10" dxfId="0">
      <formula>K7="Accepted"</formula>
    </cfRule>
    <cfRule type="expression" priority="11" dxfId="3">
      <formula>K7="Blocked"</formula>
    </cfRule>
    <cfRule type="expression" priority="12" dxfId="3">
      <formula>K7="Failed"</formula>
    </cfRule>
    <cfRule type="expression" priority="13" dxfId="3">
      <formula>K7="Rejected"</formula>
    </cfRule>
    <cfRule type="expression" priority="14" dxfId="6">
      <formula>K7="Not assessed"</formula>
    </cfRule>
  </conditionalFormatting>
  <conditionalFormatting sqref="L7:L302">
    <cfRule type="expression" priority="15" dxfId="0">
      <formula>L7="Done"</formula>
    </cfRule>
    <cfRule type="expression" priority="16" dxfId="0">
      <formula>L7="Passed"</formula>
    </cfRule>
    <cfRule type="expression" priority="17" dxfId="0">
      <formula>L7="Accepted"</formula>
    </cfRule>
    <cfRule type="expression" priority="18" dxfId="3">
      <formula>L7="Blocked"</formula>
    </cfRule>
    <cfRule type="expression" priority="19" dxfId="3">
      <formula>L7="Failed"</formula>
    </cfRule>
    <cfRule type="expression" priority="20" dxfId="3">
      <formula>L7="Rejected"</formula>
    </cfRule>
    <cfRule type="expression" priority="21" dxfId="6">
      <formula>L7="Not assessed"</formula>
    </cfRule>
  </conditionalFormatting>
  <conditionalFormatting sqref="M7:M302">
    <cfRule type="expression" priority="22" dxfId="0">
      <formula>M7="Done"</formula>
    </cfRule>
    <cfRule type="expression" priority="23" dxfId="0">
      <formula>M7="Passed"</formula>
    </cfRule>
    <cfRule type="expression" priority="24" dxfId="0">
      <formula>M7="Accepted"</formula>
    </cfRule>
    <cfRule type="expression" priority="25" dxfId="3">
      <formula>M7="Blocked"</formula>
    </cfRule>
    <cfRule type="expression" priority="26" dxfId="3">
      <formula>M7="Failed"</formula>
    </cfRule>
    <cfRule type="expression" priority="27" dxfId="3">
      <formula>M7="Rejected"</formula>
    </cfRule>
    <cfRule type="expression" priority="28" dxfId="6">
      <formula>M7="Not assessed"</formula>
    </cfRule>
  </conditionalFormatting>
  <conditionalFormatting sqref="N7:N302">
    <cfRule type="expression" priority="29" dxfId="0">
      <formula>N7="Done"</formula>
    </cfRule>
    <cfRule type="expression" priority="30" dxfId="0">
      <formula>N7="Passed"</formula>
    </cfRule>
    <cfRule type="expression" priority="31" dxfId="0">
      <formula>N7="Accepted"</formula>
    </cfRule>
    <cfRule type="expression" priority="32" dxfId="3">
      <formula>N7="Blocked"</formula>
    </cfRule>
    <cfRule type="expression" priority="33" dxfId="3">
      <formula>N7="Failed"</formula>
    </cfRule>
    <cfRule type="expression" priority="34" dxfId="3">
      <formula>N7="Rejected"</formula>
    </cfRule>
    <cfRule type="expression" priority="35" dxfId="6">
      <formula>N7="Not assessed"</formula>
    </cfRule>
  </conditionalFormatting>
  <conditionalFormatting sqref="W7:W302">
    <cfRule type="expression" priority="36" dxfId="3">
      <formula>W7="Blocked"</formula>
    </cfRule>
    <cfRule type="expression" priority="37" dxfId="3">
      <formula>W7="Rework"</formula>
    </cfRule>
    <cfRule type="expression" priority="38" dxfId="3">
      <formula>W7="Review release"</formula>
    </cfRule>
    <cfRule type="expression" priority="39" dxfId="3">
      <formula>W7="Rolled back"</formula>
    </cfRule>
    <cfRule type="expression" priority="40" dxfId="0">
      <formula>W7="Released"</formula>
    </cfRule>
    <cfRule type="expression" priority="41" dxfId="0">
      <formula>W7="Ready for release"</formula>
    </cfRule>
  </conditionalFormatting>
  <conditionalFormatting sqref="X7:X302">
    <cfRule type="expression" priority="42" dxfId="0">
      <formula>X7="Yes"</formula>
    </cfRule>
  </conditionalFormatting>
  <conditionalFormatting sqref="Y7:Y302">
    <cfRule type="expression" priority="43" dxfId="3">
      <formula>Y7="Overdue"</formula>
    </cfRule>
    <cfRule type="expression" priority="44" dxfId="43">
      <formula>Y7="Due soon"</formula>
    </cfRule>
  </conditionalFormatting>
  <conditionalFormatting sqref="O7:O302">
    <cfRule type="cellIs" priority="45" operator="greaterThan" dxfId="3">
      <formula>0</formula>
    </cfRule>
  </conditionalFormatting>
  <dataValidations count="6">
    <dataValidation sqref="J7:J302" showDropDown="0" showInputMessage="0" showErrorMessage="0" allowBlank="0" type="list">
      <formula1>"Not assessed,Not started,In progress,In review,Done,Blocked"</formula1>
    </dataValidation>
    <dataValidation sqref="K7:L302" showDropDown="0" showInputMessage="0" showErrorMessage="0" allowBlank="0" type="list">
      <formula1>"Not assessed,Not started,In progress,In review,Done,Blocked,Not required"</formula1>
    </dataValidation>
    <dataValidation sqref="M7:M302" showDropDown="0" showInputMessage="0" showErrorMessage="0" allowBlank="0" type="list">
      <formula1>"Not assessed,Not started,In progress,Passed,Failed,Blocked"</formula1>
    </dataValidation>
    <dataValidation sqref="N7:N302" showDropDown="0" showInputMessage="0" showErrorMessage="0" allowBlank="0" type="list">
      <formula1>"Not assessed,Not started,In review,Accepted,Rejected,Blocked"</formula1>
    </dataValidation>
    <dataValidation sqref="P7:P302" showDropDown="0" showInputMessage="0" showErrorMessage="0" allowBlank="0" type="list">
      <formula1>"Not scheduled,Staging,Production,Rolled back"</formula1>
    </dataValidation>
    <dataValidation sqref="O7:O302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1763CF"/>
    <outlinePr summaryBelow="1" summaryRight="1"/>
    <pageSetUpPr/>
  </sheetPr>
  <dimension ref="A1:K2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0.5600004196167" customWidth="1" min="1" max="1"/>
    <col width="33.33000183105469" customWidth="1" min="2" max="2"/>
    <col width="17.21999931335449" customWidth="1" min="3" max="3"/>
    <col width="12.22000026702881" customWidth="1" min="4" max="4"/>
    <col width="12.77999973297119" customWidth="1" min="5" max="5"/>
    <col width="14.4399995803833" customWidth="1" min="6" max="6"/>
    <col width="27.21999931335449" customWidth="1" min="7" max="7"/>
    <col width="26.11000061035156" customWidth="1" min="8" max="8"/>
    <col width="28.88999938964844" customWidth="1" min="9" max="9"/>
    <col width="12.22000026702881" customWidth="1" min="10" max="10"/>
    <col width="15" customWidth="1" min="11" max="11"/>
  </cols>
  <sheetData>
    <row r="1" ht="9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7" customHeight="1">
      <c r="A2" s="4" t="inlineStr">
        <is>
          <t>Shared development work</t>
        </is>
      </c>
      <c r="B2" s="28" t="n"/>
      <c r="C2" s="28" t="n"/>
      <c r="D2" s="28" t="n"/>
      <c r="E2" s="28" t="n"/>
      <c r="F2" s="28" t="n"/>
      <c r="G2" s="2" t="n"/>
      <c r="H2" s="2" t="n"/>
      <c r="I2" s="2" t="n"/>
      <c r="J2" s="2" t="n"/>
      <c r="K2" s="2" t="n"/>
    </row>
    <row r="3" ht="30" customHeight="1">
      <c r="A3" s="6" t="inlineStr">
        <is>
          <t>Proposed cross-screen backlog. Confirm applicability. These items are separate from the 296-screen count.</t>
        </is>
      </c>
      <c r="G3" s="2" t="n"/>
      <c r="H3" s="2" t="n"/>
      <c r="I3" s="2" t="n"/>
      <c r="J3" s="2" t="n"/>
      <c r="K3" s="2" t="n"/>
    </row>
    <row r="4" ht="30" customHeight="1">
      <c r="A4" s="6" t="inlineStr">
        <is>
          <t>Done requires an owner, evidence and no blocker. Use Not required only with a reason in the evidence field.</t>
        </is>
      </c>
      <c r="G4" s="2" t="n"/>
      <c r="H4" s="2" t="n"/>
      <c r="I4" s="2" t="n"/>
      <c r="J4" s="2" t="n"/>
      <c r="K4" s="2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40" customHeight="1">
      <c r="A6" s="14" t="inlineStr">
        <is>
          <t>Work ID</t>
        </is>
      </c>
      <c r="B6" s="14" t="inlineStr">
        <is>
          <t>Shared deliverable</t>
        </is>
      </c>
      <c r="C6" s="14" t="inlineStr">
        <is>
          <t>Owner</t>
        </is>
      </c>
      <c r="D6" s="14" t="inlineStr">
        <is>
          <t>Sprint</t>
        </is>
      </c>
      <c r="E6" s="14" t="inlineStr">
        <is>
          <t>Due date</t>
        </is>
      </c>
      <c r="F6" s="14" t="inlineStr">
        <is>
          <t>Status</t>
        </is>
      </c>
      <c r="G6" s="14" t="inlineStr">
        <is>
          <t>Blocker / dependency</t>
        </is>
      </c>
      <c r="H6" s="14" t="inlineStr">
        <is>
          <t>Evidence / reason</t>
        </is>
      </c>
      <c r="I6" s="14" t="inlineStr">
        <is>
          <t>Next action</t>
        </is>
      </c>
      <c r="J6" s="14" t="inlineStr">
        <is>
          <t>Verified</t>
        </is>
      </c>
      <c r="K6" s="14" t="inlineStr">
        <is>
          <t>Schedule</t>
        </is>
      </c>
    </row>
    <row r="7" ht="38" customHeight="1">
      <c r="A7" s="2" t="inlineStr">
        <is>
          <t>SH-001</t>
        </is>
      </c>
      <c r="B7" s="5" t="inlineStr">
        <is>
          <t>Development and staging environments</t>
        </is>
      </c>
      <c r="C7" s="24" t="n"/>
      <c r="D7" s="24" t="n"/>
      <c r="E7" s="32" t="n"/>
      <c r="F7" s="24" t="inlineStr">
        <is>
          <t>Not assessed</t>
        </is>
      </c>
      <c r="G7" s="24" t="n"/>
      <c r="H7" s="24" t="n"/>
      <c r="I7" s="24" t="n"/>
      <c r="J7" s="15">
        <f>IF(AND(F7="Done",C7&lt;&gt;"",H7&lt;&gt;"",G7=""),"Yes",IF(AND(F7="Not required",H7&lt;&gt;""),"Not required","No"))</f>
        <v/>
      </c>
      <c r="K7" s="15">
        <f>IF(J7="Yes","Completed",IF(J7="Not required","Not required",IF(E7="","No deadline",IF(NOT(ISNUMBER(E7)),"Check date",IF(E7&lt;Overview!$I$3,"Overdue",IF(E7&lt;=Overview!$I$3+7,"Due soon","On track"))))))</f>
        <v/>
      </c>
    </row>
    <row r="8" ht="38" customHeight="1">
      <c r="A8" s="2" t="inlineStr">
        <is>
          <t>SH-002</t>
        </is>
      </c>
      <c r="B8" s="5" t="inlineStr">
        <is>
          <t>Database schema and migrations</t>
        </is>
      </c>
      <c r="C8" s="24" t="n"/>
      <c r="D8" s="24" t="n"/>
      <c r="E8" s="32" t="n"/>
      <c r="F8" s="24" t="inlineStr">
        <is>
          <t>Not assessed</t>
        </is>
      </c>
      <c r="G8" s="24" t="n"/>
      <c r="H8" s="24" t="n"/>
      <c r="I8" s="24" t="n"/>
      <c r="J8" s="15">
        <f>IF(AND(F8="Done",C8&lt;&gt;"",H8&lt;&gt;"",G8=""),"Yes",IF(AND(F8="Not required",H8&lt;&gt;""),"Not required","No"))</f>
        <v/>
      </c>
      <c r="K8" s="15">
        <f>IF(J8="Yes","Completed",IF(J8="Not required","Not required",IF(E8="","No deadline",IF(NOT(ISNUMBER(E8)),"Check date",IF(E8&lt;Overview!$I$3,"Overdue",IF(E8&lt;=Overview!$I$3+7,"Due soon","On track"))))))</f>
        <v/>
      </c>
    </row>
    <row r="9" ht="38" customHeight="1">
      <c r="A9" s="2" t="inlineStr">
        <is>
          <t>SH-003</t>
        </is>
      </c>
      <c r="B9" s="5" t="inlineStr">
        <is>
          <t>Authentication and session management</t>
        </is>
      </c>
      <c r="C9" s="24" t="n"/>
      <c r="D9" s="24" t="n"/>
      <c r="E9" s="32" t="n"/>
      <c r="F9" s="24" t="inlineStr">
        <is>
          <t>Not assessed</t>
        </is>
      </c>
      <c r="G9" s="24" t="n"/>
      <c r="H9" s="24" t="n"/>
      <c r="I9" s="24" t="n"/>
      <c r="J9" s="15">
        <f>IF(AND(F9="Done",C9&lt;&gt;"",H9&lt;&gt;"",G9=""),"Yes",IF(AND(F9="Not required",H9&lt;&gt;""),"Not required","No"))</f>
        <v/>
      </c>
      <c r="K9" s="15">
        <f>IF(J9="Yes","Completed",IF(J9="Not required","Not required",IF(E9="","No deadline",IF(NOT(ISNUMBER(E9)),"Check date",IF(E9&lt;Overview!$I$3,"Overdue",IF(E9&lt;=Overview!$I$3+7,"Due soon","On track"))))))</f>
        <v/>
      </c>
    </row>
    <row r="10" ht="38" customHeight="1">
      <c r="A10" s="2" t="inlineStr">
        <is>
          <t>SH-004</t>
        </is>
      </c>
      <c r="B10" s="5" t="inlineStr">
        <is>
          <t>Role and permission enforcement</t>
        </is>
      </c>
      <c r="C10" s="24" t="n"/>
      <c r="D10" s="24" t="n"/>
      <c r="E10" s="32" t="n"/>
      <c r="F10" s="24" t="inlineStr">
        <is>
          <t>Not assessed</t>
        </is>
      </c>
      <c r="G10" s="24" t="n"/>
      <c r="H10" s="24" t="n"/>
      <c r="I10" s="24" t="n"/>
      <c r="J10" s="15">
        <f>IF(AND(F10="Done",C10&lt;&gt;"",H10&lt;&gt;"",G10=""),"Yes",IF(AND(F10="Not required",H10&lt;&gt;""),"Not required","No"))</f>
        <v/>
      </c>
      <c r="K10" s="15">
        <f>IF(J10="Yes","Completed",IF(J10="Not required","Not required",IF(E10="","No deadline",IF(NOT(ISNUMBER(E10)),"Check date",IF(E10&lt;Overview!$I$3,"Overdue",IF(E10&lt;=Overview!$I$3+7,"Due soon","On track"))))))</f>
        <v/>
      </c>
    </row>
    <row r="11" ht="38" customHeight="1">
      <c r="A11" s="2" t="inlineStr">
        <is>
          <t>SH-005</t>
        </is>
      </c>
      <c r="B11" s="5" t="inlineStr">
        <is>
          <t>School / tenant data isolation</t>
        </is>
      </c>
      <c r="C11" s="24" t="n"/>
      <c r="D11" s="24" t="n"/>
      <c r="E11" s="32" t="n"/>
      <c r="F11" s="24" t="inlineStr">
        <is>
          <t>Not assessed</t>
        </is>
      </c>
      <c r="G11" s="24" t="n"/>
      <c r="H11" s="24" t="n"/>
      <c r="I11" s="24" t="n"/>
      <c r="J11" s="15">
        <f>IF(AND(F11="Done",C11&lt;&gt;"",H11&lt;&gt;"",G11=""),"Yes",IF(AND(F11="Not required",H11&lt;&gt;""),"Not required","No"))</f>
        <v/>
      </c>
      <c r="K11" s="15">
        <f>IF(J11="Yes","Completed",IF(J11="Not required","Not required",IF(E11="","No deadline",IF(NOT(ISNUMBER(E11)),"Check date",IF(E11&lt;Overview!$I$3,"Overdue",IF(E11&lt;=Overview!$I$3+7,"Due soon","On track"))))))</f>
        <v/>
      </c>
    </row>
    <row r="12" ht="38" customHeight="1">
      <c r="A12" s="2" t="inlineStr">
        <is>
          <t>SH-006</t>
        </is>
      </c>
      <c r="B12" s="5" t="inlineStr">
        <is>
          <t>Shared UI components and routing</t>
        </is>
      </c>
      <c r="C12" s="24" t="n"/>
      <c r="D12" s="24" t="n"/>
      <c r="E12" s="32" t="n"/>
      <c r="F12" s="24" t="inlineStr">
        <is>
          <t>Not assessed</t>
        </is>
      </c>
      <c r="G12" s="24" t="n"/>
      <c r="H12" s="24" t="n"/>
      <c r="I12" s="24" t="n"/>
      <c r="J12" s="15">
        <f>IF(AND(F12="Done",C12&lt;&gt;"",H12&lt;&gt;"",G12=""),"Yes",IF(AND(F12="Not required",H12&lt;&gt;""),"Not required","No"))</f>
        <v/>
      </c>
      <c r="K12" s="15">
        <f>IF(J12="Yes","Completed",IF(J12="Not required","Not required",IF(E12="","No deadline",IF(NOT(ISNUMBER(E12)),"Check date",IF(E12&lt;Overview!$I$3,"Overdue",IF(E12&lt;=Overview!$I$3+7,"Due soon","On track"))))))</f>
        <v/>
      </c>
    </row>
    <row r="13" ht="38" customHeight="1">
      <c r="A13" s="2" t="inlineStr">
        <is>
          <t>SH-007</t>
        </is>
      </c>
      <c r="B13" s="5" t="inlineStr">
        <is>
          <t>File upload and document storage</t>
        </is>
      </c>
      <c r="C13" s="24" t="n"/>
      <c r="D13" s="24" t="n"/>
      <c r="E13" s="32" t="n"/>
      <c r="F13" s="24" t="inlineStr">
        <is>
          <t>Not assessed</t>
        </is>
      </c>
      <c r="G13" s="24" t="n"/>
      <c r="H13" s="24" t="n"/>
      <c r="I13" s="24" t="n"/>
      <c r="J13" s="15">
        <f>IF(AND(F13="Done",C13&lt;&gt;"",H13&lt;&gt;"",G13=""),"Yes",IF(AND(F13="Not required",H13&lt;&gt;""),"Not required","No"))</f>
        <v/>
      </c>
      <c r="K13" s="15">
        <f>IF(J13="Yes","Completed",IF(J13="Not required","Not required",IF(E13="","No deadline",IF(NOT(ISNUMBER(E13)),"Check date",IF(E13&lt;Overview!$I$3,"Overdue",IF(E13&lt;=Overview!$I$3+7,"Due soon","On track"))))))</f>
        <v/>
      </c>
    </row>
    <row r="14" ht="38" customHeight="1">
      <c r="A14" s="2" t="inlineStr">
        <is>
          <t>SH-008</t>
        </is>
      </c>
      <c r="B14" s="5" t="inlineStr">
        <is>
          <t>Notification delivery integration</t>
        </is>
      </c>
      <c r="C14" s="24" t="n"/>
      <c r="D14" s="24" t="n"/>
      <c r="E14" s="32" t="n"/>
      <c r="F14" s="24" t="inlineStr">
        <is>
          <t>Not assessed</t>
        </is>
      </c>
      <c r="G14" s="24" t="n"/>
      <c r="H14" s="24" t="n"/>
      <c r="I14" s="24" t="n"/>
      <c r="J14" s="15">
        <f>IF(AND(F14="Done",C14&lt;&gt;"",H14&lt;&gt;"",G14=""),"Yes",IF(AND(F14="Not required",H14&lt;&gt;""),"Not required","No"))</f>
        <v/>
      </c>
      <c r="K14" s="15">
        <f>IF(J14="Yes","Completed",IF(J14="Not required","Not required",IF(E14="","No deadline",IF(NOT(ISNUMBER(E14)),"Check date",IF(E14&lt;Overview!$I$3,"Overdue",IF(E14&lt;=Overview!$I$3+7,"Due soon","On track"))))))</f>
        <v/>
      </c>
    </row>
    <row r="15" ht="38" customHeight="1">
      <c r="A15" s="2" t="inlineStr">
        <is>
          <t>SH-009</t>
        </is>
      </c>
      <c r="B15" s="5" t="inlineStr">
        <is>
          <t>Payment provider integration</t>
        </is>
      </c>
      <c r="C15" s="24" t="n"/>
      <c r="D15" s="24" t="n"/>
      <c r="E15" s="32" t="n"/>
      <c r="F15" s="24" t="inlineStr">
        <is>
          <t>Not assessed</t>
        </is>
      </c>
      <c r="G15" s="24" t="n"/>
      <c r="H15" s="24" t="n"/>
      <c r="I15" s="24" t="n"/>
      <c r="J15" s="15">
        <f>IF(AND(F15="Done",C15&lt;&gt;"",H15&lt;&gt;"",G15=""),"Yes",IF(AND(F15="Not required",H15&lt;&gt;""),"Not required","No"))</f>
        <v/>
      </c>
      <c r="K15" s="15">
        <f>IF(J15="Yes","Completed",IF(J15="Not required","Not required",IF(E15="","No deadline",IF(NOT(ISNUMBER(E15)),"Check date",IF(E15&lt;Overview!$I$3,"Overdue",IF(E15&lt;=Overview!$I$3+7,"Due soon","On track"))))))</f>
        <v/>
      </c>
    </row>
    <row r="16" ht="38" customHeight="1">
      <c r="A16" s="2" t="inlineStr">
        <is>
          <t>SH-010</t>
        </is>
      </c>
      <c r="B16" s="5" t="inlineStr">
        <is>
          <t>Background jobs and scheduled work</t>
        </is>
      </c>
      <c r="C16" s="24" t="n"/>
      <c r="D16" s="24" t="n"/>
      <c r="E16" s="32" t="n"/>
      <c r="F16" s="24" t="inlineStr">
        <is>
          <t>Not assessed</t>
        </is>
      </c>
      <c r="G16" s="24" t="n"/>
      <c r="H16" s="24" t="n"/>
      <c r="I16" s="24" t="n"/>
      <c r="J16" s="15">
        <f>IF(AND(F16="Done",C16&lt;&gt;"",H16&lt;&gt;"",G16=""),"Yes",IF(AND(F16="Not required",H16&lt;&gt;""),"Not required","No"))</f>
        <v/>
      </c>
      <c r="K16" s="15">
        <f>IF(J16="Yes","Completed",IF(J16="Not required","Not required",IF(E16="","No deadline",IF(NOT(ISNUMBER(E16)),"Check date",IF(E16&lt;Overview!$I$3,"Overdue",IF(E16&lt;=Overview!$I$3+7,"Due soon","On track"))))))</f>
        <v/>
      </c>
    </row>
    <row r="17" ht="38" customHeight="1">
      <c r="A17" s="2" t="inlineStr">
        <is>
          <t>SH-011</t>
        </is>
      </c>
      <c r="B17" s="5" t="inlineStr">
        <is>
          <t>Report and export services</t>
        </is>
      </c>
      <c r="C17" s="24" t="n"/>
      <c r="D17" s="24" t="n"/>
      <c r="E17" s="32" t="n"/>
      <c r="F17" s="24" t="inlineStr">
        <is>
          <t>Not assessed</t>
        </is>
      </c>
      <c r="G17" s="24" t="n"/>
      <c r="H17" s="24" t="n"/>
      <c r="I17" s="24" t="n"/>
      <c r="J17" s="15">
        <f>IF(AND(F17="Done",C17&lt;&gt;"",H17&lt;&gt;"",G17=""),"Yes",IF(AND(F17="Not required",H17&lt;&gt;""),"Not required","No"))</f>
        <v/>
      </c>
      <c r="K17" s="15">
        <f>IF(J17="Yes","Completed",IF(J17="Not required","Not required",IF(E17="","No deadline",IF(NOT(ISNUMBER(E17)),"Check date",IF(E17&lt;Overview!$I$3,"Overdue",IF(E17&lt;=Overview!$I$3+7,"Due soon","On track"))))))</f>
        <v/>
      </c>
    </row>
    <row r="18" ht="38" customHeight="1">
      <c r="A18" s="2" t="inlineStr">
        <is>
          <t>SH-012</t>
        </is>
      </c>
      <c r="B18" s="5" t="inlineStr">
        <is>
          <t>Automated test framework</t>
        </is>
      </c>
      <c r="C18" s="24" t="n"/>
      <c r="D18" s="24" t="n"/>
      <c r="E18" s="32" t="n"/>
      <c r="F18" s="24" t="inlineStr">
        <is>
          <t>Not assessed</t>
        </is>
      </c>
      <c r="G18" s="24" t="n"/>
      <c r="H18" s="24" t="n"/>
      <c r="I18" s="24" t="n"/>
      <c r="J18" s="15">
        <f>IF(AND(F18="Done",C18&lt;&gt;"",H18&lt;&gt;"",G18=""),"Yes",IF(AND(F18="Not required",H18&lt;&gt;""),"Not required","No"))</f>
        <v/>
      </c>
      <c r="K18" s="15">
        <f>IF(J18="Yes","Completed",IF(J18="Not required","Not required",IF(E18="","No deadline",IF(NOT(ISNUMBER(E18)),"Check date",IF(E18&lt;Overview!$I$3,"Overdue",IF(E18&lt;=Overview!$I$3+7,"Due soon","On track"))))))</f>
        <v/>
      </c>
    </row>
    <row r="19" ht="38" customHeight="1">
      <c r="A19" s="2" t="inlineStr">
        <is>
          <t>SH-013</t>
        </is>
      </c>
      <c r="B19" s="5" t="inlineStr">
        <is>
          <t>Logging, monitoring and error handling</t>
        </is>
      </c>
      <c r="C19" s="24" t="n"/>
      <c r="D19" s="24" t="n"/>
      <c r="E19" s="32" t="n"/>
      <c r="F19" s="24" t="inlineStr">
        <is>
          <t>Not assessed</t>
        </is>
      </c>
      <c r="G19" s="24" t="n"/>
      <c r="H19" s="24" t="n"/>
      <c r="I19" s="24" t="n"/>
      <c r="J19" s="15">
        <f>IF(AND(F19="Done",C19&lt;&gt;"",H19&lt;&gt;"",G19=""),"Yes",IF(AND(F19="Not required",H19&lt;&gt;""),"Not required","No"))</f>
        <v/>
      </c>
      <c r="K19" s="15">
        <f>IF(J19="Yes","Completed",IF(J19="Not required","Not required",IF(E19="","No deadline",IF(NOT(ISNUMBER(E19)),"Check date",IF(E19&lt;Overview!$I$3,"Overdue",IF(E19&lt;=Overview!$I$3+7,"Due soon","On track"))))))</f>
        <v/>
      </c>
    </row>
    <row r="20" ht="38" customHeight="1">
      <c r="A20" s="2" t="inlineStr">
        <is>
          <t>SH-014</t>
        </is>
      </c>
      <c r="B20" s="5" t="inlineStr">
        <is>
          <t>Backup and restore validation</t>
        </is>
      </c>
      <c r="C20" s="24" t="n"/>
      <c r="D20" s="24" t="n"/>
      <c r="E20" s="32" t="n"/>
      <c r="F20" s="24" t="inlineStr">
        <is>
          <t>Not assessed</t>
        </is>
      </c>
      <c r="G20" s="24" t="n"/>
      <c r="H20" s="24" t="n"/>
      <c r="I20" s="24" t="n"/>
      <c r="J20" s="15">
        <f>IF(AND(F20="Done",C20&lt;&gt;"",H20&lt;&gt;"",G20=""),"Yes",IF(AND(F20="Not required",H20&lt;&gt;""),"Not required","No"))</f>
        <v/>
      </c>
      <c r="K20" s="15">
        <f>IF(J20="Yes","Completed",IF(J20="Not required","Not required",IF(E20="","No deadline",IF(NOT(ISNUMBER(E20)),"Check date",IF(E20&lt;Overview!$I$3,"Overdue",IF(E20&lt;=Overview!$I$3+7,"Due soon","On track"))))))</f>
        <v/>
      </c>
    </row>
    <row r="21" ht="38" customHeight="1">
      <c r="A21" s="2" t="inlineStr">
        <is>
          <t>SH-015</t>
        </is>
      </c>
      <c r="B21" s="5" t="inlineStr">
        <is>
          <t>Responsive and accessibility checks</t>
        </is>
      </c>
      <c r="C21" s="24" t="n"/>
      <c r="D21" s="24" t="n"/>
      <c r="E21" s="32" t="n"/>
      <c r="F21" s="24" t="inlineStr">
        <is>
          <t>Not assessed</t>
        </is>
      </c>
      <c r="G21" s="24" t="n"/>
      <c r="H21" s="24" t="n"/>
      <c r="I21" s="24" t="n"/>
      <c r="J21" s="15">
        <f>IF(AND(F21="Done",C21&lt;&gt;"",H21&lt;&gt;"",G21=""),"Yes",IF(AND(F21="Not required",H21&lt;&gt;""),"Not required","No"))</f>
        <v/>
      </c>
      <c r="K21" s="15">
        <f>IF(J21="Yes","Completed",IF(J21="Not required","Not required",IF(E21="","No deadline",IF(NOT(ISNUMBER(E21)),"Check date",IF(E21&lt;Overview!$I$3,"Overdue",IF(E21&lt;=Overview!$I$3+7,"Due soon","On track"))))))</f>
        <v/>
      </c>
    </row>
    <row r="22" ht="38" customHeight="1">
      <c r="A22" s="2" t="inlineStr">
        <is>
          <t>SH-016</t>
        </is>
      </c>
      <c r="B22" s="5" t="inlineStr">
        <is>
          <t>Deployment pipeline and release checks</t>
        </is>
      </c>
      <c r="C22" s="24" t="n"/>
      <c r="D22" s="24" t="n"/>
      <c r="E22" s="32" t="n"/>
      <c r="F22" s="24" t="inlineStr">
        <is>
          <t>Not assessed</t>
        </is>
      </c>
      <c r="G22" s="24" t="n"/>
      <c r="H22" s="24" t="n"/>
      <c r="I22" s="24" t="n"/>
      <c r="J22" s="15">
        <f>IF(AND(F22="Done",C22&lt;&gt;"",H22&lt;&gt;"",G22=""),"Yes",IF(AND(F22="Not required",H22&lt;&gt;""),"Not required","No"))</f>
        <v/>
      </c>
      <c r="K22" s="15">
        <f>IF(J22="Yes","Completed",IF(J22="Not required","Not required",IF(E22="","No deadline",IF(NOT(ISNUMBER(E22)),"Check date",IF(E22&lt;Overview!$I$3,"Overdue",IF(E22&lt;=Overview!$I$3+7,"Due soon","On track"))))))</f>
        <v/>
      </c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2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</sheetData>
  <mergeCells count="3">
    <mergeCell ref="A3:F3"/>
    <mergeCell ref="A2:F2"/>
    <mergeCell ref="A4:F4"/>
  </mergeCells>
  <conditionalFormatting sqref="F7:F22">
    <cfRule type="expression" priority="1" dxfId="3">
      <formula>F7="Blocked"</formula>
    </cfRule>
  </conditionalFormatting>
  <conditionalFormatting sqref="J7:J22">
    <cfRule type="expression" priority="2" dxfId="0">
      <formula>J7="Yes"</formula>
    </cfRule>
  </conditionalFormatting>
  <conditionalFormatting sqref="K7:K22">
    <cfRule type="expression" priority="3" dxfId="3">
      <formula>K7="Overdue"</formula>
    </cfRule>
  </conditionalFormatting>
  <dataValidations count="1">
    <dataValidation sqref="F7:F22" showDropDown="0" showInputMessage="0" showErrorMessage="0" allowBlank="0" type="list">
      <formula1>"Not assessed,Not started,In progress,In review,Done,Blocked,Not required"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2026-09-20T08:45:54Z</dcterms:created>
  <dcterms:modified xmlns:dcterms="http://purl.org/dc/terms/" xmlns:xsi="http://www.w3.org/2001/XMLSchema-instance" xsi:type="dcterms:W3CDTF">2026-09-20T14:26:34Z</dcterms:modified>
</cp:coreProperties>
</file>