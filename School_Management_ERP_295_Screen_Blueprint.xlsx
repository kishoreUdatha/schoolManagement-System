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artgrow Projects\schoolManagement-System\"/>
    </mc:Choice>
  </mc:AlternateContent>
  <bookViews>
    <workbookView xWindow="0" yWindow="0" windowWidth="19200" windowHeight="7190" activeTab="2"/>
  </bookViews>
  <sheets>
    <sheet name="ERP Blueprint" sheetId="1" r:id="rId1"/>
    <sheet name="Master Screens" sheetId="2" r:id="rId2"/>
    <sheet name="Role Coverage" sheetId="3" r:id="rId3"/>
    <sheet name="Delivery Plan" sheetId="4" r:id="rId4"/>
  </sheets>
  <calcPr calcId="152511"/>
</workbook>
</file>

<file path=xl/calcChain.xml><?xml version="1.0" encoding="utf-8"?>
<calcChain xmlns="http://schemas.openxmlformats.org/spreadsheetml/2006/main">
  <c r="B7" i="4" l="1"/>
  <c r="B6" i="4"/>
  <c r="B5" i="4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D40" i="1"/>
  <c r="C40" i="1"/>
  <c r="B40" i="1"/>
  <c r="C39" i="1"/>
  <c r="D39" i="1" s="1"/>
  <c r="B39" i="1"/>
  <c r="C38" i="1"/>
  <c r="B38" i="1"/>
  <c r="D38" i="1" s="1"/>
  <c r="C37" i="1"/>
  <c r="B37" i="1"/>
  <c r="D37" i="1" s="1"/>
  <c r="D36" i="1"/>
  <c r="C36" i="1"/>
  <c r="B36" i="1"/>
  <c r="C35" i="1"/>
  <c r="D35" i="1" s="1"/>
  <c r="B35" i="1"/>
  <c r="C34" i="1"/>
  <c r="B34" i="1"/>
  <c r="D34" i="1" s="1"/>
  <c r="C33" i="1"/>
  <c r="B33" i="1"/>
  <c r="D33" i="1" s="1"/>
  <c r="D32" i="1"/>
  <c r="C32" i="1"/>
  <c r="B32" i="1"/>
  <c r="C31" i="1"/>
  <c r="D31" i="1" s="1"/>
  <c r="B31" i="1"/>
  <c r="C30" i="1"/>
  <c r="B30" i="1"/>
  <c r="D30" i="1" s="1"/>
  <c r="C29" i="1"/>
  <c r="B29" i="1"/>
  <c r="D29" i="1" s="1"/>
  <c r="D28" i="1"/>
  <c r="C28" i="1"/>
  <c r="B28" i="1"/>
  <c r="C27" i="1"/>
  <c r="D27" i="1" s="1"/>
  <c r="B27" i="1"/>
  <c r="C26" i="1"/>
  <c r="B26" i="1"/>
  <c r="D26" i="1" s="1"/>
  <c r="C25" i="1"/>
  <c r="B25" i="1"/>
  <c r="D25" i="1" s="1"/>
  <c r="D24" i="1"/>
  <c r="C24" i="1"/>
  <c r="B24" i="1"/>
  <c r="C23" i="1"/>
  <c r="D23" i="1" s="1"/>
  <c r="B23" i="1"/>
  <c r="C22" i="1"/>
  <c r="B22" i="1"/>
  <c r="D22" i="1" s="1"/>
  <c r="C21" i="1"/>
  <c r="B21" i="1"/>
  <c r="D21" i="1" s="1"/>
  <c r="D20" i="1"/>
  <c r="C20" i="1"/>
  <c r="B20" i="1"/>
  <c r="C19" i="1"/>
  <c r="D19" i="1" s="1"/>
  <c r="B19" i="1"/>
  <c r="C18" i="1"/>
  <c r="B18" i="1"/>
  <c r="D18" i="1" s="1"/>
  <c r="C17" i="1"/>
  <c r="B17" i="1"/>
  <c r="D17" i="1" s="1"/>
  <c r="D16" i="1"/>
  <c r="C16" i="1"/>
  <c r="B16" i="1"/>
  <c r="B12" i="1"/>
  <c r="B11" i="1"/>
  <c r="B10" i="1"/>
  <c r="A6" i="1"/>
</calcChain>
</file>

<file path=xl/sharedStrings.xml><?xml version="1.0" encoding="utf-8"?>
<sst xmlns="http://schemas.openxmlformats.org/spreadsheetml/2006/main" count="4068" uniqueCount="1174">
  <si>
    <t>School Management ERP — Complete Screen Blueprint</t>
  </si>
  <si>
    <t>A complete UI/UX and development inventory covering 295 screens across 25 ERP modules.</t>
  </si>
  <si>
    <t>TOTAL SCREENS</t>
  </si>
  <si>
    <t>MODULES</t>
  </si>
  <si>
    <t>DELIVERY PHASES</t>
  </si>
  <si>
    <t>Priority</t>
  </si>
  <si>
    <t>Screen Count</t>
  </si>
  <si>
    <t>Purpose</t>
  </si>
  <si>
    <t>Recommended Release</t>
  </si>
  <si>
    <t>MVP</t>
  </si>
  <si>
    <t>Core school operations needed for first production launch.</t>
  </si>
  <si>
    <t>Release 1</t>
  </si>
  <si>
    <t>Phase 2</t>
  </si>
  <si>
    <t>Operational expansion, automation and supporting departments.</t>
  </si>
  <si>
    <t>Release 2</t>
  </si>
  <si>
    <t>Phase 3</t>
  </si>
  <si>
    <t>Advanced / optional modules and deeper analytics.</t>
  </si>
  <si>
    <t>Release 3</t>
  </si>
  <si>
    <t>Module</t>
  </si>
  <si>
    <t>Screens</t>
  </si>
  <si>
    <t>Phase 2 / 3</t>
  </si>
  <si>
    <t>Public Website &amp; Authentication</t>
  </si>
  <si>
    <t>Super Admin / SaaS Administration</t>
  </si>
  <si>
    <t>Organization / School / Branch Setup</t>
  </si>
  <si>
    <t>Role Dashboards</t>
  </si>
  <si>
    <t>Admissions &amp; Enquiries</t>
  </si>
  <si>
    <t>Students</t>
  </si>
  <si>
    <t>Parents &amp; Guardians</t>
  </si>
  <si>
    <t>Teachers &amp; Staff</t>
  </si>
  <si>
    <t>Academics &amp; Curriculum</t>
  </si>
  <si>
    <t>Student Attendance</t>
  </si>
  <si>
    <t>Timetable &amp; Substitution</t>
  </si>
  <si>
    <t>Homework &amp; Assignments</t>
  </si>
  <si>
    <t>Examinations / Marks / Results</t>
  </si>
  <si>
    <t>Fees &amp; Finance</t>
  </si>
  <si>
    <t>HR / Leave / Payroll</t>
  </si>
  <si>
    <t>Transport / Bus / GPS</t>
  </si>
  <si>
    <t>Library</t>
  </si>
  <si>
    <t>Hostel</t>
  </si>
  <si>
    <t>Health / Counselling / Discipline</t>
  </si>
  <si>
    <t>Visitor / Gate / Security</t>
  </si>
  <si>
    <t>Inventory / Assets / Labs</t>
  </si>
  <si>
    <t>Events / PTM / Communication</t>
  </si>
  <si>
    <t>Documents &amp; Certificates</t>
  </si>
  <si>
    <t>Reports &amp; Analytics</t>
  </si>
  <si>
    <t>Settings / Roles / Permissions / Audit</t>
  </si>
  <si>
    <t>Screen ID</t>
  </si>
  <si>
    <t>Submodule</t>
  </si>
  <si>
    <t>Screen Name</t>
  </si>
  <si>
    <t>Primary Roles</t>
  </si>
  <si>
    <t>Portal</t>
  </si>
  <si>
    <t>Screen Type</t>
  </si>
  <si>
    <t>Key Actions</t>
  </si>
  <si>
    <t>Key Data / Fields</t>
  </si>
  <si>
    <t>Reusable UI Pattern</t>
  </si>
  <si>
    <t>Implementation Notes</t>
  </si>
  <si>
    <t>SCR-001</t>
  </si>
  <si>
    <t>Public Website</t>
  </si>
  <si>
    <t>Landing / Home</t>
  </si>
  <si>
    <t>All Users</t>
  </si>
  <si>
    <t>Shared / Public</t>
  </si>
  <si>
    <t>Workflow / Management</t>
  </si>
  <si>
    <t>Manage the end-to-end landing / home workflow within public website &amp; authentication.</t>
  </si>
  <si>
    <t>View, Create / Update, Filter, Export / Print</t>
  </si>
  <si>
    <t>Name / title, code, academic year, status, owner, dates, remarks</t>
  </si>
  <si>
    <t>Workflow / Approval / Detail</t>
  </si>
  <si>
    <t>Preserve existing role permissions, APIs and workflows; design reusable responsive UI.</t>
  </si>
  <si>
    <t>SCR-002</t>
  </si>
  <si>
    <t>Workspace / Role Selection</t>
  </si>
  <si>
    <t>Manage the end-to-end workspace / role selection workflow within public website &amp; authentication.</t>
  </si>
  <si>
    <t>User, role, module, permission, scope, status, last login</t>
  </si>
  <si>
    <t>SCR-003</t>
  </si>
  <si>
    <t>Sign In</t>
  </si>
  <si>
    <t>Manage the end-to-end sign in workflow within public website &amp; authentication.</t>
  </si>
  <si>
    <t>SCR-004</t>
  </si>
  <si>
    <t>Forgot Password</t>
  </si>
  <si>
    <t>Manage the end-to-end forgot password workflow within public website &amp; authentication.</t>
  </si>
  <si>
    <t>SCR-005</t>
  </si>
  <si>
    <t>Reset Password</t>
  </si>
  <si>
    <t>Manage the end-to-end reset password workflow within public website &amp; authentication.</t>
  </si>
  <si>
    <t>SCR-006</t>
  </si>
  <si>
    <t>OTP / Two-Factor Verification</t>
  </si>
  <si>
    <t>Manage the end-to-end otp / two-factor verification workflow within public website &amp; authentication.</t>
  </si>
  <si>
    <t>Review, Approve / Reject, Comment, Track status</t>
  </si>
  <si>
    <t>SCR-007</t>
  </si>
  <si>
    <t>First Login / Change Password</t>
  </si>
  <si>
    <t>Manage the end-to-end first login / change password workflow within public website &amp; authentication.</t>
  </si>
  <si>
    <t>SCR-008</t>
  </si>
  <si>
    <t>Access Denied / Session Expired</t>
  </si>
  <si>
    <t>Manage the end-to-end access denied / session expired workflow within public website &amp; authentication.</t>
  </si>
  <si>
    <t>SCR-009</t>
  </si>
  <si>
    <t>Super Admin</t>
  </si>
  <si>
    <t>Platform Dashboard</t>
  </si>
  <si>
    <t>Super Admin Portal</t>
  </si>
  <si>
    <t>Dashboard</t>
  </si>
  <si>
    <t>Provide an at-a-glance operational view of super admin / saas administration with key status, alerts and shortcuts.</t>
  </si>
  <si>
    <t>Filter, Drill down, Export, Print</t>
  </si>
  <si>
    <t>KPIs, alerts, recent activity, pending actions, date / academic-year filters</t>
  </si>
  <si>
    <t>Dashboard + KPI Cards</t>
  </si>
  <si>
    <t>SCR-010</t>
  </si>
  <si>
    <t>Organizations List</t>
  </si>
  <si>
    <t>List / Management</t>
  </si>
  <si>
    <t>Search, filter and manage records for organizations list.</t>
  </si>
  <si>
    <t>Search, Filter, Sort, Open record</t>
  </si>
  <si>
    <t>Search + Filter + Data Table</t>
  </si>
  <si>
    <t>SCR-011</t>
  </si>
  <si>
    <t>Add Organization</t>
  </si>
  <si>
    <t>Create / Transaction</t>
  </si>
  <si>
    <t>Capture or process the add organization workflow while enforcing school rules and validations.</t>
  </si>
  <si>
    <t>Create, Save, Validate, Cancel</t>
  </si>
  <si>
    <t>Form / Wizard</t>
  </si>
  <si>
    <t>SCR-012</t>
  </si>
  <si>
    <t>Organization Details</t>
  </si>
  <si>
    <t>Detail / Profile</t>
  </si>
  <si>
    <t>Show the complete record and related activity for organization details in one structured view.</t>
  </si>
  <si>
    <t>View, Edit, Update, View activity</t>
  </si>
  <si>
    <t>Profile / Detail + Tabs</t>
  </si>
  <si>
    <t>SCR-013</t>
  </si>
  <si>
    <t>Subscription Plans</t>
  </si>
  <si>
    <t>Manage the end-to-end subscription plans workflow within super admin / saas administration.</t>
  </si>
  <si>
    <t>SCR-014</t>
  </si>
  <si>
    <t>Subscriptions &amp; Billing</t>
  </si>
  <si>
    <t>Manage the end-to-end subscriptions &amp; billing workflow within super admin / saas administration.</t>
  </si>
  <si>
    <t>SCR-015</t>
  </si>
  <si>
    <t>Tenant Usage &amp; Limits</t>
  </si>
  <si>
    <t>Report / Analytics</t>
  </si>
  <si>
    <t>Analyze tenant usage &amp; limits data using filters, summaries and export-ready results.</t>
  </si>
  <si>
    <t>Filters + KPI + Table / Chart</t>
  </si>
  <si>
    <t>SCR-016</t>
  </si>
  <si>
    <t>Platform Users</t>
  </si>
  <si>
    <t>Manage the end-to-end platform users workflow within super admin / saas administration.</t>
  </si>
  <si>
    <t>SCR-017</t>
  </si>
  <si>
    <t>Support Tickets</t>
  </si>
  <si>
    <t>Manage the end-to-end support tickets workflow within super admin / saas administration.</t>
  </si>
  <si>
    <t>SCR-018</t>
  </si>
  <si>
    <t>System Health &amp; Service Status</t>
  </si>
  <si>
    <t>Manage the end-to-end system health &amp; service status workflow within super admin / saas administration.</t>
  </si>
  <si>
    <t>Student, blood group, allergy, condition, visit date, complaint, treatment, emergency contact</t>
  </si>
  <si>
    <t>SCR-019</t>
  </si>
  <si>
    <t>Global Announcements</t>
  </si>
  <si>
    <t>Search, filter and manage records for global announcements.</t>
  </si>
  <si>
    <t>SCR-020</t>
  </si>
  <si>
    <t>Platform Settings</t>
  </si>
  <si>
    <t>Configuration</t>
  </si>
  <si>
    <t>Configure platform settings rules and master data used across the ERP.</t>
  </si>
  <si>
    <t>Settings / Master Data</t>
  </si>
  <si>
    <t>SCR-021</t>
  </si>
  <si>
    <t>Organization</t>
  </si>
  <si>
    <t>Organization Profile</t>
  </si>
  <si>
    <t>Super Admin, Organization Admin, School Admin</t>
  </si>
  <si>
    <t>School Admin / Shared</t>
  </si>
  <si>
    <t>Show the complete record and related activity for organization profile in one structured view.</t>
  </si>
  <si>
    <t>SCR-022</t>
  </si>
  <si>
    <t>Schools List</t>
  </si>
  <si>
    <t>Search, filter and manage records for schools list.</t>
  </si>
  <si>
    <t>SCR-023</t>
  </si>
  <si>
    <t>Add School</t>
  </si>
  <si>
    <t>Capture or process the add school workflow while enforcing school rules and validations.</t>
  </si>
  <si>
    <t>SCR-024</t>
  </si>
  <si>
    <t>School Details</t>
  </si>
  <si>
    <t>Show the complete record and related activity for school details in one structured view.</t>
  </si>
  <si>
    <t>SCR-025</t>
  </si>
  <si>
    <t>Branches List</t>
  </si>
  <si>
    <t>Search, filter and manage records for branches list.</t>
  </si>
  <si>
    <t>SCR-026</t>
  </si>
  <si>
    <t>Add Branch</t>
  </si>
  <si>
    <t>Capture or process the add branch workflow while enforcing school rules and validations.</t>
  </si>
  <si>
    <t>SCR-027</t>
  </si>
  <si>
    <t>Branch Details</t>
  </si>
  <si>
    <t>Show the complete record and related activity for branch details in one structured view.</t>
  </si>
  <si>
    <t>SCR-028</t>
  </si>
  <si>
    <t>Academic Year Setup</t>
  </si>
  <si>
    <t>Capture or process the academic year setup workflow while enforcing school rules and validations.</t>
  </si>
  <si>
    <t>SCR-029</t>
  </si>
  <si>
    <t>Grade / Class Setup</t>
  </si>
  <si>
    <t>Capture or process the grade / class setup workflow while enforcing school rules and validations.</t>
  </si>
  <si>
    <t>Exam, class, subject, date, max marks, pass marks, score, grade, remarks</t>
  </si>
  <si>
    <t>SCR-030</t>
  </si>
  <si>
    <t>Section Setup</t>
  </si>
  <si>
    <t>Capture or process the section setup workflow while enforcing school rules and validations.</t>
  </si>
  <si>
    <t>SCR-031</t>
  </si>
  <si>
    <t>Department Setup</t>
  </si>
  <si>
    <t>Capture or process the department setup workflow while enforcing school rules and validations.</t>
  </si>
  <si>
    <t>SCR-032</t>
  </si>
  <si>
    <t>School Branding &amp; Profile</t>
  </si>
  <si>
    <t>Show the complete record and related activity for school branding &amp; profile in one structured view.</t>
  </si>
  <si>
    <t>SCR-033</t>
  </si>
  <si>
    <t>School Admin Dashboard</t>
  </si>
  <si>
    <t>School Admin</t>
  </si>
  <si>
    <t>School Admin Portal</t>
  </si>
  <si>
    <t>Provide an at-a-glance operational view of role dashboards with key status, alerts and shortcuts.</t>
  </si>
  <si>
    <t>SCR-034</t>
  </si>
  <si>
    <t>Principal Dashboard</t>
  </si>
  <si>
    <t>Principal</t>
  </si>
  <si>
    <t>Principal Portal</t>
  </si>
  <si>
    <t>SCR-035</t>
  </si>
  <si>
    <t>Teacher Dashboard</t>
  </si>
  <si>
    <t>Teacher</t>
  </si>
  <si>
    <t>Teacher Portal</t>
  </si>
  <si>
    <t>SCR-036</t>
  </si>
  <si>
    <t>Student Dashboard</t>
  </si>
  <si>
    <t>Student</t>
  </si>
  <si>
    <t>Student Portal</t>
  </si>
  <si>
    <t>SCR-037</t>
  </si>
  <si>
    <t>Parent Dashboard</t>
  </si>
  <si>
    <t>Parent</t>
  </si>
  <si>
    <t>Parent Portal</t>
  </si>
  <si>
    <t>SCR-038</t>
  </si>
  <si>
    <t>Accountant Dashboard</t>
  </si>
  <si>
    <t>Accountant</t>
  </si>
  <si>
    <t>Accountant Portal</t>
  </si>
  <si>
    <t>SCR-039</t>
  </si>
  <si>
    <t>HR Dashboard</t>
  </si>
  <si>
    <t>HR</t>
  </si>
  <si>
    <t>HR Portal</t>
  </si>
  <si>
    <t>SCR-040</t>
  </si>
  <si>
    <t>Admission Officer Dashboard</t>
  </si>
  <si>
    <t>Admission Officer</t>
  </si>
  <si>
    <t>Admission Officer Portal</t>
  </si>
  <si>
    <t>SCR-041</t>
  </si>
  <si>
    <t>Transport Manager Dashboard</t>
  </si>
  <si>
    <t>Transport Manager</t>
  </si>
  <si>
    <t>Transport Manager Portal</t>
  </si>
  <si>
    <t>SCR-042</t>
  </si>
  <si>
    <t>Librarian Dashboard</t>
  </si>
  <si>
    <t>Librarian</t>
  </si>
  <si>
    <t>Librarian Portal</t>
  </si>
  <si>
    <t>SCR-043</t>
  </si>
  <si>
    <t>Enquiries</t>
  </si>
  <si>
    <t>Admission / Enquiry Dashboard</t>
  </si>
  <si>
    <t>Admission Officer, Receptionist, School Admin, Principal</t>
  </si>
  <si>
    <t>Provide an at-a-glance operational view of admissions &amp; enquiries with key status, alerts and shortcuts.</t>
  </si>
  <si>
    <t>SCR-044</t>
  </si>
  <si>
    <t>Enquiry List</t>
  </si>
  <si>
    <t>Search, filter and manage records for enquiry list.</t>
  </si>
  <si>
    <t>Applicant, parent, mobile, grade, source, counsellor, stage, follow-up / application status</t>
  </si>
  <si>
    <t>SCR-045</t>
  </si>
  <si>
    <t>Add Enquiry</t>
  </si>
  <si>
    <t>Capture or process the add enquiry workflow while enforcing school rules and validations.</t>
  </si>
  <si>
    <t>SCR-046</t>
  </si>
  <si>
    <t>Enquiry Details</t>
  </si>
  <si>
    <t>Show the complete record and related activity for enquiry details in one structured view.</t>
  </si>
  <si>
    <t>SCR-047</t>
  </si>
  <si>
    <t>Follow-up Calendar</t>
  </si>
  <si>
    <t>Calendar / Schedule</t>
  </si>
  <si>
    <t>Plan and review follow-up calendar by date, period, class, staff or resource.</t>
  </si>
  <si>
    <t>Change view, Create / Assign, Reschedule, Print</t>
  </si>
  <si>
    <t>SCR-048</t>
  </si>
  <si>
    <t>Admissions</t>
  </si>
  <si>
    <t>Admission Applications</t>
  </si>
  <si>
    <t>Search, filter and manage records for admission applications.</t>
  </si>
  <si>
    <t>SCR-049</t>
  </si>
  <si>
    <t>New Admission Application</t>
  </si>
  <si>
    <t>Capture or process the new admission application workflow while enforcing school rules and validations.</t>
  </si>
  <si>
    <t>SCR-050</t>
  </si>
  <si>
    <t>Application Details</t>
  </si>
  <si>
    <t>Show the complete record and related activity for application details in one structured view.</t>
  </si>
  <si>
    <t>SCR-051</t>
  </si>
  <si>
    <t>Document Verification</t>
  </si>
  <si>
    <t>Manage the end-to-end document verification workflow within admissions &amp; enquiries.</t>
  </si>
  <si>
    <t>Document / certificate type, owner, issue/upload date, file, verification status, reference no.</t>
  </si>
  <si>
    <t>SCR-052</t>
  </si>
  <si>
    <t>Entrance Assessment</t>
  </si>
  <si>
    <t>Manage the end-to-end entrance assessment workflow within admissions &amp; enquiries.</t>
  </si>
  <si>
    <t>SCR-053</t>
  </si>
  <si>
    <t>Admission Approval</t>
  </si>
  <si>
    <t>Manage the end-to-end admission approval workflow within admissions &amp; enquiries.</t>
  </si>
  <si>
    <t>SCR-054</t>
  </si>
  <si>
    <t>Admission Confirmation &amp; Student Creation</t>
  </si>
  <si>
    <t>Manage the end-to-end admission confirmation &amp; student creation workflow within admissions &amp; enquiries.</t>
  </si>
  <si>
    <t>Student ID, admission no., name, class, section, status, parent, academic year</t>
  </si>
  <si>
    <t>SCR-055</t>
  </si>
  <si>
    <t>Student Master</t>
  </si>
  <si>
    <t>Student Directory</t>
  </si>
  <si>
    <t>School Admin, Principal, Class Teacher, Teacher</t>
  </si>
  <si>
    <t>Search, filter and manage records for student directory.</t>
  </si>
  <si>
    <t>SCR-056</t>
  </si>
  <si>
    <t>Add Student</t>
  </si>
  <si>
    <t>Capture or process the add student workflow while enforcing school rules and validations.</t>
  </si>
  <si>
    <t>SCR-057</t>
  </si>
  <si>
    <t>Student Profile Overview</t>
  </si>
  <si>
    <t>Show the complete record and related activity for student profile overview in one structured view.</t>
  </si>
  <si>
    <t>SCR-058</t>
  </si>
  <si>
    <t>Edit Student</t>
  </si>
  <si>
    <t>Manage the end-to-end edit student workflow within students.</t>
  </si>
  <si>
    <t>SCR-059</t>
  </si>
  <si>
    <t>Student Services</t>
  </si>
  <si>
    <t>Student Academic Details</t>
  </si>
  <si>
    <t>Show the complete record and related activity for student academic details in one structured view.</t>
  </si>
  <si>
    <t>SCR-060</t>
  </si>
  <si>
    <t>Attendance</t>
  </si>
  <si>
    <t>Student Attendance History</t>
  </si>
  <si>
    <t>Show the complete record and related activity for student attendance history in one structured view.</t>
  </si>
  <si>
    <t>SCR-061</t>
  </si>
  <si>
    <t>Academics</t>
  </si>
  <si>
    <t>Student Examination &amp; Results</t>
  </si>
  <si>
    <t>Show the complete record and related activity for student examination &amp; results in one structured view.</t>
  </si>
  <si>
    <t>SCR-062</t>
  </si>
  <si>
    <t>Finance</t>
  </si>
  <si>
    <t>Student Fees &amp; Ledger</t>
  </si>
  <si>
    <t>Show the complete record and related activity for student fees &amp; ledger in one structured view.</t>
  </si>
  <si>
    <t>SCR-063</t>
  </si>
  <si>
    <t>Documents</t>
  </si>
  <si>
    <t>Student Documents</t>
  </si>
  <si>
    <t>Manage the end-to-end student documents workflow within students.</t>
  </si>
  <si>
    <t>SCR-064</t>
  </si>
  <si>
    <t>Student Behaviour &amp; Discipline</t>
  </si>
  <si>
    <t>Manage the end-to-end student behaviour &amp; discipline workflow within students.</t>
  </si>
  <si>
    <t>SCR-065</t>
  </si>
  <si>
    <t>Student Health</t>
  </si>
  <si>
    <t>Manage the end-to-end student health workflow within students.</t>
  </si>
  <si>
    <t>SCR-066</t>
  </si>
  <si>
    <t>Student Transport</t>
  </si>
  <si>
    <t>Manage the end-to-end student transport workflow within students.</t>
  </si>
  <si>
    <t>SCR-067</t>
  </si>
  <si>
    <t>Student Library</t>
  </si>
  <si>
    <t>Manage the end-to-end student library workflow within students.</t>
  </si>
  <si>
    <t>SCR-068</t>
  </si>
  <si>
    <t>Siblings &amp; Family</t>
  </si>
  <si>
    <t>Manage the end-to-end siblings &amp; family workflow within students.</t>
  </si>
  <si>
    <t>SCR-069</t>
  </si>
  <si>
    <t>Promotion / Transfer</t>
  </si>
  <si>
    <t>Manage the end-to-end promotion / transfer workflow within students.</t>
  </si>
  <si>
    <t>SCR-070</t>
  </si>
  <si>
    <t>Student Exit / Alumni Conversion</t>
  </si>
  <si>
    <t>Manage the end-to-end student exit / alumni conversion workflow within students.</t>
  </si>
  <si>
    <t>SCR-071</t>
  </si>
  <si>
    <t>Parents</t>
  </si>
  <si>
    <t>Parent / Guardian Directory</t>
  </si>
  <si>
    <t>School Admin, Parent, Class Teacher</t>
  </si>
  <si>
    <t>Search, filter and manage records for parent / guardian directory.</t>
  </si>
  <si>
    <t>Guardian name, relationship, mobile, email, linked students, communication preferences</t>
  </si>
  <si>
    <t>SCR-072</t>
  </si>
  <si>
    <t>Add Parent / Guardian</t>
  </si>
  <si>
    <t>Capture or process the add parent / guardian workflow while enforcing school rules and validations.</t>
  </si>
  <si>
    <t>SCR-073</t>
  </si>
  <si>
    <t>Parent Profile</t>
  </si>
  <si>
    <t>Show the complete record and related activity for parent profile in one structured view.</t>
  </si>
  <si>
    <t>SCR-074</t>
  </si>
  <si>
    <t>Link Children</t>
  </si>
  <si>
    <t>Manage the end-to-end link children workflow within parents &amp; guardians.</t>
  </si>
  <si>
    <t>SCR-075</t>
  </si>
  <si>
    <t>Communication Preferences</t>
  </si>
  <si>
    <t>Configure communication preferences rules and master data used across the ERP.</t>
  </si>
  <si>
    <t>SCR-076</t>
  </si>
  <si>
    <t>Parent Login Access</t>
  </si>
  <si>
    <t>Manage the end-to-end parent login access workflow within parents &amp; guardians.</t>
  </si>
  <si>
    <t>SCR-077</t>
  </si>
  <si>
    <t>Parent-Teacher Interactions</t>
  </si>
  <si>
    <t>Manage the end-to-end parent-teacher interactions workflow within parents &amp; guardians.</t>
  </si>
  <si>
    <t>SCR-078</t>
  </si>
  <si>
    <t>Parent Payments &amp; Receipts</t>
  </si>
  <si>
    <t>Show the complete record and related activity for parent payments &amp; receipts in one structured view.</t>
  </si>
  <si>
    <t>Calculate, Collect / Process, Generate receipt, Reconcile</t>
  </si>
  <si>
    <t>SCR-079</t>
  </si>
  <si>
    <t>Parent Activity History</t>
  </si>
  <si>
    <t>Show the complete record and related activity for parent activity history in one structured view.</t>
  </si>
  <si>
    <t>SCR-080</t>
  </si>
  <si>
    <t>Teachers</t>
  </si>
  <si>
    <t>Staff Directory</t>
  </si>
  <si>
    <t>School Admin, Principal, HR, Teacher</t>
  </si>
  <si>
    <t>Search, filter and manage records for staff directory.</t>
  </si>
  <si>
    <t>Employee ID, name, department, designation, subjects, contact, status</t>
  </si>
  <si>
    <t>SCR-081</t>
  </si>
  <si>
    <t>Add Staff</t>
  </si>
  <si>
    <t>Capture or process the add staff workflow while enforcing school rules and validations.</t>
  </si>
  <si>
    <t>SCR-082</t>
  </si>
  <si>
    <t>Staff Profile</t>
  </si>
  <si>
    <t>Show the complete record and related activity for staff profile in one structured view.</t>
  </si>
  <si>
    <t>SCR-083</t>
  </si>
  <si>
    <t>Edit Staff</t>
  </si>
  <si>
    <t>Manage the end-to-end edit staff workflow within teachers &amp; staff.</t>
  </si>
  <si>
    <t>SCR-084</t>
  </si>
  <si>
    <t>Teacher Allocation</t>
  </si>
  <si>
    <t>Manage the end-to-end teacher allocation workflow within teachers &amp; staff.</t>
  </si>
  <si>
    <t>SCR-085</t>
  </si>
  <si>
    <t>Subject &amp; Class Assignment</t>
  </si>
  <si>
    <t>Manage the end-to-end subject &amp; class assignment workflow within teachers &amp; staff.</t>
  </si>
  <si>
    <t>SCR-086</t>
  </si>
  <si>
    <t>Teacher Workload</t>
  </si>
  <si>
    <t>Manage the end-to-end teacher workload workflow within teachers &amp; staff.</t>
  </si>
  <si>
    <t>SCR-087</t>
  </si>
  <si>
    <t>Qualifications &amp; Documents</t>
  </si>
  <si>
    <t>Manage the end-to-end qualifications &amp; documents workflow within teachers &amp; staff.</t>
  </si>
  <si>
    <t>SCR-088</t>
  </si>
  <si>
    <t>Staff Attendance Summary</t>
  </si>
  <si>
    <t>Analyze staff attendance summary data using filters, summaries and export-ready results.</t>
  </si>
  <si>
    <t>SCR-089</t>
  </si>
  <si>
    <t>Staff Leave Summary</t>
  </si>
  <si>
    <t>Analyze staff leave summary data using filters, summaries and export-ready results.</t>
  </si>
  <si>
    <t>SCR-090</t>
  </si>
  <si>
    <t>Performance &amp; Classroom Observation</t>
  </si>
  <si>
    <t>Manage the end-to-end performance &amp; classroom observation workflow within teachers &amp; staff.</t>
  </si>
  <si>
    <t>Hostel, room, bed, student, allocation date, warden, status</t>
  </si>
  <si>
    <t>SCR-091</t>
  </si>
  <si>
    <t>Exit / Offboarding</t>
  </si>
  <si>
    <t>Manage the end-to-end exit / offboarding workflow within teachers &amp; staff.</t>
  </si>
  <si>
    <t>SCR-092</t>
  </si>
  <si>
    <t>Academic Masters</t>
  </si>
  <si>
    <t>Academic Years</t>
  </si>
  <si>
    <t>Academic Coordinator, Principal, School Admin, Teacher</t>
  </si>
  <si>
    <t>Configure academic years rules and master data used across the ERP.</t>
  </si>
  <si>
    <t>SCR-093</t>
  </si>
  <si>
    <t>Terms / Semesters</t>
  </si>
  <si>
    <t>Manage the end-to-end terms / semesters workflow within academics &amp; curriculum.</t>
  </si>
  <si>
    <t>SCR-094</t>
  </si>
  <si>
    <t>Grades / Classes</t>
  </si>
  <si>
    <t>Manage the end-to-end grades / classes workflow within academics &amp; curriculum.</t>
  </si>
  <si>
    <t>SCR-095</t>
  </si>
  <si>
    <t>Sections</t>
  </si>
  <si>
    <t>Search, filter and manage records for sections.</t>
  </si>
  <si>
    <t>SCR-096</t>
  </si>
  <si>
    <t>Subjects</t>
  </si>
  <si>
    <t>Search, filter and manage records for subjects.</t>
  </si>
  <si>
    <t>SCR-097</t>
  </si>
  <si>
    <t>Subject Groups</t>
  </si>
  <si>
    <t>Manage the end-to-end subject groups workflow within academics &amp; curriculum.</t>
  </si>
  <si>
    <t>SCR-098</t>
  </si>
  <si>
    <t>Curriculum &amp; Teaching</t>
  </si>
  <si>
    <t>Curriculum</t>
  </si>
  <si>
    <t>Manage the end-to-end curriculum workflow within academics &amp; curriculum.</t>
  </si>
  <si>
    <t>SCR-099</t>
  </si>
  <si>
    <t>Curriculum Details</t>
  </si>
  <si>
    <t>Show the complete record and related activity for curriculum details in one structured view.</t>
  </si>
  <si>
    <t>SCR-100</t>
  </si>
  <si>
    <t>Units / Chapters / Topics</t>
  </si>
  <si>
    <t>Manage the end-to-end units / chapters / topics workflow within academics &amp; curriculum.</t>
  </si>
  <si>
    <t>SCR-101</t>
  </si>
  <si>
    <t>Learning Outcomes</t>
  </si>
  <si>
    <t>Manage the end-to-end learning outcomes workflow within academics &amp; curriculum.</t>
  </si>
  <si>
    <t>SCR-102</t>
  </si>
  <si>
    <t>Lesson Plans</t>
  </si>
  <si>
    <t>Manage the end-to-end lesson plans workflow within academics &amp; curriculum.</t>
  </si>
  <si>
    <t>SCR-103</t>
  </si>
  <si>
    <t>Create / Edit Lesson Plan</t>
  </si>
  <si>
    <t>Capture or process the create / edit lesson plan workflow while enforcing school rules and validations.</t>
  </si>
  <si>
    <t>Create, Save, Validate, Cancel, View</t>
  </si>
  <si>
    <t>SCR-104</t>
  </si>
  <si>
    <t>Lesson Plan Review &amp; Approval</t>
  </si>
  <si>
    <t>Manage the end-to-end lesson plan review &amp; approval workflow within academics &amp; curriculum.</t>
  </si>
  <si>
    <t>SCR-105</t>
  </si>
  <si>
    <t>Syllabus Progress</t>
  </si>
  <si>
    <t>Manage the end-to-end syllabus progress workflow within academics &amp; curriculum.</t>
  </si>
  <si>
    <t>Item / asset ID, category, quantity, location, assignee, supplier, status, value</t>
  </si>
  <si>
    <t>SCR-106</t>
  </si>
  <si>
    <t>Teaching Resources</t>
  </si>
  <si>
    <t>Manage the end-to-end teaching resources workflow within academics &amp; curriculum.</t>
  </si>
  <si>
    <t>SCR-107</t>
  </si>
  <si>
    <t>Classroom / Room Management</t>
  </si>
  <si>
    <t>Manage the end-to-end classroom / room management workflow within academics &amp; curriculum.</t>
  </si>
  <si>
    <t>SCR-108</t>
  </si>
  <si>
    <t>Academic Operations</t>
  </si>
  <si>
    <t>Academic Calendar</t>
  </si>
  <si>
    <t>Plan and review academic calendar by date, period, class, staff or resource.</t>
  </si>
  <si>
    <t>SCR-109</t>
  </si>
  <si>
    <t>Co-Curricular Activities</t>
  </si>
  <si>
    <t>Manage the end-to-end co-curricular activities workflow within academics &amp; curriculum.</t>
  </si>
  <si>
    <t>SCR-110</t>
  </si>
  <si>
    <t>Daily Class Attendance</t>
  </si>
  <si>
    <t>Teacher, Class Teacher, School Admin</t>
  </si>
  <si>
    <t>Manage the end-to-end daily class attendance workflow within student attendance.</t>
  </si>
  <si>
    <t>Date, class, section, student, status, period, reason, remarks</t>
  </si>
  <si>
    <t>SCR-111</t>
  </si>
  <si>
    <t>Period / Subject Attendance</t>
  </si>
  <si>
    <t>Manage the end-to-end period / subject attendance workflow within student attendance.</t>
  </si>
  <si>
    <t>SCR-112</t>
  </si>
  <si>
    <t>Student Attendance Register</t>
  </si>
  <si>
    <t>Show the complete record and related activity for student attendance register in one structured view.</t>
  </si>
  <si>
    <t>SCR-113</t>
  </si>
  <si>
    <t>Attendance Correction</t>
  </si>
  <si>
    <t>Class Teacher, School Admin, Principal</t>
  </si>
  <si>
    <t>Manage the end-to-end attendance correction workflow within student attendance.</t>
  </si>
  <si>
    <t>SCR-114</t>
  </si>
  <si>
    <t>Student Leave Requests</t>
  </si>
  <si>
    <t>Manage the end-to-end student leave requests workflow within student attendance.</t>
  </si>
  <si>
    <t>SCR-115</t>
  </si>
  <si>
    <t>Student Leave Approval</t>
  </si>
  <si>
    <t>Manage the end-to-end student leave approval workflow within student attendance.</t>
  </si>
  <si>
    <t>SCR-116</t>
  </si>
  <si>
    <t>Late Entry / Early Exit</t>
  </si>
  <si>
    <t>Manage the end-to-end late entry / early exit workflow within student attendance.</t>
  </si>
  <si>
    <t>SCR-117</t>
  </si>
  <si>
    <t>Monthly Attendance Summary</t>
  </si>
  <si>
    <t>School Admin, Principal, Class Teacher</t>
  </si>
  <si>
    <t>Analyze monthly attendance summary data using filters, summaries and export-ready results.</t>
  </si>
  <si>
    <t>SCR-118</t>
  </si>
  <si>
    <t>Chronic Absence Alerts</t>
  </si>
  <si>
    <t>Manage the end-to-end chronic absence alerts workflow within student attendance.</t>
  </si>
  <si>
    <t>SCR-119</t>
  </si>
  <si>
    <t>Attendance Reports</t>
  </si>
  <si>
    <t>Analyze attendance reports data using filters, summaries and export-ready results.</t>
  </si>
  <si>
    <t>SCR-120</t>
  </si>
  <si>
    <t>Timetable</t>
  </si>
  <si>
    <t>Timetable Dashboard</t>
  </si>
  <si>
    <t>Academic Coordinator, School Admin, Principal, Teacher, Student</t>
  </si>
  <si>
    <t>Provide an at-a-glance operational view of timetable &amp; substitution with key status, alerts and shortcuts.</t>
  </si>
  <si>
    <t>Filter, Drill down, Export, Print, Change view</t>
  </si>
  <si>
    <t>SCR-121</t>
  </si>
  <si>
    <t>Timetable Setup</t>
  </si>
  <si>
    <t>Capture or process the timetable setup workflow while enforcing school rules and validations.</t>
  </si>
  <si>
    <t>Create, Save, Validate, Cancel, Change view</t>
  </si>
  <si>
    <t>Academic year, class, section, day/date, period, subject, teacher, room</t>
  </si>
  <si>
    <t>SCR-122</t>
  </si>
  <si>
    <t>Period Setup</t>
  </si>
  <si>
    <t>Capture or process the period setup workflow while enforcing school rules and validations.</t>
  </si>
  <si>
    <t>SCR-123</t>
  </si>
  <si>
    <t>Teacher Availability</t>
  </si>
  <si>
    <t>Manage the end-to-end teacher availability workflow within timetable &amp; substitution.</t>
  </si>
  <si>
    <t>SCR-124</t>
  </si>
  <si>
    <t>Generate Timetable</t>
  </si>
  <si>
    <t>Plan and review generate timetable by date, period, class, staff or resource.</t>
  </si>
  <si>
    <t>SCR-125</t>
  </si>
  <si>
    <t>Class Timetable</t>
  </si>
  <si>
    <t>Plan and review class timetable by date, period, class, staff or resource.</t>
  </si>
  <si>
    <t>SCR-126</t>
  </si>
  <si>
    <t>Teacher Timetable</t>
  </si>
  <si>
    <t>Plan and review teacher timetable by date, period, class, staff or resource.</t>
  </si>
  <si>
    <t>SCR-127</t>
  </si>
  <si>
    <t>Substitution / Replacement</t>
  </si>
  <si>
    <t>Manage the end-to-end substitution / replacement workflow within timetable &amp; substitution.</t>
  </si>
  <si>
    <t>SCR-128</t>
  </si>
  <si>
    <t>Homework</t>
  </si>
  <si>
    <t>Homework List</t>
  </si>
  <si>
    <t>Teacher, School Admin</t>
  </si>
  <si>
    <t>Search, filter and manage records for homework list.</t>
  </si>
  <si>
    <t>SCR-129</t>
  </si>
  <si>
    <t>Create Homework</t>
  </si>
  <si>
    <t>Capture or process the create homework workflow while enforcing school rules and validations.</t>
  </si>
  <si>
    <t>SCR-130</t>
  </si>
  <si>
    <t>Homework Details</t>
  </si>
  <si>
    <t>Show the complete record and related activity for homework details in one structured view.</t>
  </si>
  <si>
    <t>SCR-131</t>
  </si>
  <si>
    <t>Student Homework View</t>
  </si>
  <si>
    <t>Student, Teacher, Parent</t>
  </si>
  <si>
    <t>Manage the end-to-end student homework view workflow within homework &amp; assignments.</t>
  </si>
  <si>
    <t>SCR-132</t>
  </si>
  <si>
    <t>Homework Submission</t>
  </si>
  <si>
    <t>Manage the end-to-end homework submission workflow within homework &amp; assignments.</t>
  </si>
  <si>
    <t>SCR-133</t>
  </si>
  <si>
    <t>Homework Evaluation</t>
  </si>
  <si>
    <t>Manage the end-to-end homework evaluation workflow within homework &amp; assignments.</t>
  </si>
  <si>
    <t>SCR-134</t>
  </si>
  <si>
    <t>Assignment List</t>
  </si>
  <si>
    <t>Search, filter and manage records for assignment list.</t>
  </si>
  <si>
    <t>SCR-135</t>
  </si>
  <si>
    <t>Create Assignment</t>
  </si>
  <si>
    <t>Capture or process the create assignment workflow while enforcing school rules and validations.</t>
  </si>
  <si>
    <t>SCR-136</t>
  </si>
  <si>
    <t>Assignment Submissions</t>
  </si>
  <si>
    <t>Manage the end-to-end assignment submissions workflow within homework &amp; assignments.</t>
  </si>
  <si>
    <t>SCR-137</t>
  </si>
  <si>
    <t>Assignment Evaluation</t>
  </si>
  <si>
    <t>Manage the end-to-end assignment evaluation workflow within homework &amp; assignments.</t>
  </si>
  <si>
    <t>SCR-138</t>
  </si>
  <si>
    <t>Examinations</t>
  </si>
  <si>
    <t>Exam Dashboard</t>
  </si>
  <si>
    <t>Exam Coordinator, Teacher, School Admin, Principal, Student, Parent</t>
  </si>
  <si>
    <t>Provide an at-a-glance operational view of examinations / marks / results with key status, alerts and shortcuts.</t>
  </si>
  <si>
    <t>SCR-139</t>
  </si>
  <si>
    <t>Exam Types</t>
  </si>
  <si>
    <t>Manage the end-to-end exam types workflow within examinations / marks / results.</t>
  </si>
  <si>
    <t>SCR-140</t>
  </si>
  <si>
    <t>Exam Setup</t>
  </si>
  <si>
    <t>Capture or process the exam setup workflow while enforcing school rules and validations.</t>
  </si>
  <si>
    <t>SCR-141</t>
  </si>
  <si>
    <t>Exam Schedule</t>
  </si>
  <si>
    <t>Plan and review exam schedule by date, period, class, staff or resource.</t>
  </si>
  <si>
    <t>SCR-142</t>
  </si>
  <si>
    <t>Hall / Room Allocation</t>
  </si>
  <si>
    <t>Manage the end-to-end hall / room allocation workflow within examinations / marks / results.</t>
  </si>
  <si>
    <t>SCR-143</t>
  </si>
  <si>
    <t>Invigilation Assignment</t>
  </si>
  <si>
    <t>Manage the end-to-end invigilation assignment workflow within examinations / marks / results.</t>
  </si>
  <si>
    <t>SCR-144</t>
  </si>
  <si>
    <t>Admit Card</t>
  </si>
  <si>
    <t>Manage the end-to-end admit card workflow within examinations / marks / results.</t>
  </si>
  <si>
    <t>SCR-145</t>
  </si>
  <si>
    <t>Marks Entry</t>
  </si>
  <si>
    <t>Teacher, Exam Coordinator, School Admin</t>
  </si>
  <si>
    <t>Capture or process the marks entry workflow while enforcing school rules and validations.</t>
  </si>
  <si>
    <t>SCR-146</t>
  </si>
  <si>
    <t>Practical / Internal Marks</t>
  </si>
  <si>
    <t>Manage the end-to-end practical / internal marks workflow within examinations / marks / results.</t>
  </si>
  <si>
    <t>SCR-147</t>
  </si>
  <si>
    <t>Bulk Marks Import</t>
  </si>
  <si>
    <t>Manage the end-to-end bulk marks import workflow within examinations / marks / results.</t>
  </si>
  <si>
    <t>Upload, Validate, Preview, Confirm</t>
  </si>
  <si>
    <t>SCR-148</t>
  </si>
  <si>
    <t>Marks Verification</t>
  </si>
  <si>
    <t>Manage the end-to-end marks verification workflow within examinations / marks / results.</t>
  </si>
  <si>
    <t>SCR-149</t>
  </si>
  <si>
    <t>Grade / Grading Setup</t>
  </si>
  <si>
    <t>Capture or process the grade / grading setup workflow while enforcing school rules and validations.</t>
  </si>
  <si>
    <t>SCR-150</t>
  </si>
  <si>
    <t>Publish Results</t>
  </si>
  <si>
    <t>Principal, Exam Coordinator, School Admin</t>
  </si>
  <si>
    <t>Show the complete record and related activity for publish results in one structured view.</t>
  </si>
  <si>
    <t>SCR-151</t>
  </si>
  <si>
    <t>Student Result</t>
  </si>
  <si>
    <t>Student, Parent, Teacher, School Admin, Principal</t>
  </si>
  <si>
    <t>Show the complete record and related activity for student result in one structured view.</t>
  </si>
  <si>
    <t>SCR-152</t>
  </si>
  <si>
    <t>Report Card</t>
  </si>
  <si>
    <t>Show the complete record and related activity for report card in one structured view.</t>
  </si>
  <si>
    <t>SCR-153</t>
  </si>
  <si>
    <t>Promotion Decision</t>
  </si>
  <si>
    <t>Manage the end-to-end promotion decision workflow within examinations / marks / results.</t>
  </si>
  <si>
    <t>SCR-154</t>
  </si>
  <si>
    <t>Student Fees</t>
  </si>
  <si>
    <t>Fee Dashboard</t>
  </si>
  <si>
    <t>Accountant, School Admin</t>
  </si>
  <si>
    <t>Provide an at-a-glance operational view of fees &amp; finance with key status, alerts and shortcuts.</t>
  </si>
  <si>
    <t>SCR-155</t>
  </si>
  <si>
    <t>Fee Structure</t>
  </si>
  <si>
    <t>Manage the end-to-end fee structure workflow within fees &amp; finance.</t>
  </si>
  <si>
    <t>Student / account, fee head, amount, due date, paid amount, balance, payment mode, receipt</t>
  </si>
  <si>
    <t>SCR-156</t>
  </si>
  <si>
    <t>Create / Edit Fee Structure</t>
  </si>
  <si>
    <t>Capture or process the create / edit fee structure workflow while enforcing school rules and validations.</t>
  </si>
  <si>
    <t>SCR-157</t>
  </si>
  <si>
    <t>Student Fee Assignment</t>
  </si>
  <si>
    <t>Manage the end-to-end student fee assignment workflow within fees &amp; finance.</t>
  </si>
  <si>
    <t>SCR-158</t>
  </si>
  <si>
    <t>Fee Collection</t>
  </si>
  <si>
    <t>Accountant, School Admin, Parent</t>
  </si>
  <si>
    <t>Capture or process the fee collection workflow while enforcing school rules and validations.</t>
  </si>
  <si>
    <t>SCR-159</t>
  </si>
  <si>
    <t>Online Payment</t>
  </si>
  <si>
    <t>Parent, Accountant, School Admin</t>
  </si>
  <si>
    <t>Manage the end-to-end online payment workflow within fees &amp; finance.</t>
  </si>
  <si>
    <t>SCR-160</t>
  </si>
  <si>
    <t>Payment Receipt</t>
  </si>
  <si>
    <t>Show the complete record and related activity for payment receipt in one structured view.</t>
  </si>
  <si>
    <t>SCR-161</t>
  </si>
  <si>
    <t>Student Ledger</t>
  </si>
  <si>
    <t>Show the complete record and related activity for student ledger in one structured view.</t>
  </si>
  <si>
    <t>SCR-162</t>
  </si>
  <si>
    <t>Outstanding Dues</t>
  </si>
  <si>
    <t>Manage the end-to-end outstanding dues workflow within fees &amp; finance.</t>
  </si>
  <si>
    <t>SCR-163</t>
  </si>
  <si>
    <t>Concession / Scholarship</t>
  </si>
  <si>
    <t>Manage the end-to-end concession / scholarship workflow within fees &amp; finance.</t>
  </si>
  <si>
    <t>SCR-164</t>
  </si>
  <si>
    <t>Fine Rules</t>
  </si>
  <si>
    <t>Manage the end-to-end fine rules workflow within fees &amp; finance.</t>
  </si>
  <si>
    <t>SCR-165</t>
  </si>
  <si>
    <t>Refunds</t>
  </si>
  <si>
    <t>Manage the end-to-end refunds workflow within fees &amp; finance.</t>
  </si>
  <si>
    <t>SCR-166</t>
  </si>
  <si>
    <t>Accounting</t>
  </si>
  <si>
    <t>Income</t>
  </si>
  <si>
    <t>Manage the end-to-end income workflow within fees &amp; finance.</t>
  </si>
  <si>
    <t>SCR-167</t>
  </si>
  <si>
    <t>Expenses</t>
  </si>
  <si>
    <t>Manage the end-to-end expenses workflow within fees &amp; finance.</t>
  </si>
  <si>
    <t>SCR-168</t>
  </si>
  <si>
    <t>Vendor Management</t>
  </si>
  <si>
    <t>Manage the end-to-end vendor management workflow within fees &amp; finance.</t>
  </si>
  <si>
    <t>SCR-169</t>
  </si>
  <si>
    <t>Purchase / Payment</t>
  </si>
  <si>
    <t>Manage the end-to-end purchase / payment workflow within fees &amp; finance.</t>
  </si>
  <si>
    <t>SCR-170</t>
  </si>
  <si>
    <t>Cash &amp; Bank Book</t>
  </si>
  <si>
    <t>Manage the end-to-end cash &amp; bank book workflow within fees &amp; finance.</t>
  </si>
  <si>
    <t>Book ID / ISBN, title, author, category, copy, member, issue date, due date, status</t>
  </si>
  <si>
    <t>SCR-171</t>
  </si>
  <si>
    <t>Finance Reports</t>
  </si>
  <si>
    <t>Analyze finance reports data using filters, summaries and export-ready results.</t>
  </si>
  <si>
    <t>SCR-172</t>
  </si>
  <si>
    <t>Recruitment Requisitions</t>
  </si>
  <si>
    <t>HR, School Admin, Principal, Employee</t>
  </si>
  <si>
    <t>Manage the end-to-end recruitment requisitions workflow within hr / leave / payroll.</t>
  </si>
  <si>
    <t>SCR-173</t>
  </si>
  <si>
    <t>Job Openings</t>
  </si>
  <si>
    <t>Search, filter and manage records for job openings.</t>
  </si>
  <si>
    <t>SCR-174</t>
  </si>
  <si>
    <t>Candidate Applications</t>
  </si>
  <si>
    <t>Search, filter and manage records for candidate applications.</t>
  </si>
  <si>
    <t>SCR-175</t>
  </si>
  <si>
    <t>Candidate Details</t>
  </si>
  <si>
    <t>Show the complete record and related activity for candidate details in one structured view.</t>
  </si>
  <si>
    <t>SCR-176</t>
  </si>
  <si>
    <t>Interview Schedule</t>
  </si>
  <si>
    <t>Plan and review interview schedule by date, period, class, staff or resource.</t>
  </si>
  <si>
    <t>SCR-177</t>
  </si>
  <si>
    <t>Offer &amp; Appointment</t>
  </si>
  <si>
    <t>Manage the end-to-end offer &amp; appointment workflow within hr / leave / payroll.</t>
  </si>
  <si>
    <t>SCR-178</t>
  </si>
  <si>
    <t>Employee Onboarding Checklist</t>
  </si>
  <si>
    <t>Search, filter and manage records for employee onboarding checklist.</t>
  </si>
  <si>
    <t>SCR-179</t>
  </si>
  <si>
    <t>Staff Attendance Management</t>
  </si>
  <si>
    <t>Manage the end-to-end staff attendance management workflow within hr / leave / payroll.</t>
  </si>
  <si>
    <t>SCR-180</t>
  </si>
  <si>
    <t>Leave Policies</t>
  </si>
  <si>
    <t>Manage the end-to-end leave policies workflow within hr / leave / payroll.</t>
  </si>
  <si>
    <t>SCR-181</t>
  </si>
  <si>
    <t>Staff Leave Requests</t>
  </si>
  <si>
    <t>Manage the end-to-end staff leave requests workflow within hr / leave / payroll.</t>
  </si>
  <si>
    <t>SCR-182</t>
  </si>
  <si>
    <t>Leave Approval</t>
  </si>
  <si>
    <t>Manage the end-to-end leave approval workflow within hr / leave / payroll.</t>
  </si>
  <si>
    <t>SCR-183</t>
  </si>
  <si>
    <t>Payroll Setup</t>
  </si>
  <si>
    <t>Capture or process the payroll setup workflow while enforcing school rules and validations.</t>
  </si>
  <si>
    <t>SCR-184</t>
  </si>
  <si>
    <t>Payroll Processing</t>
  </si>
  <si>
    <t>Capture or process the payroll processing workflow while enforcing school rules and validations.</t>
  </si>
  <si>
    <t>SCR-185</t>
  </si>
  <si>
    <t>Payslip &amp; Payroll History</t>
  </si>
  <si>
    <t>Show the complete record and related activity for payslip &amp; payroll history in one structured view.</t>
  </si>
  <si>
    <t>SCR-186</t>
  </si>
  <si>
    <t>Transport</t>
  </si>
  <si>
    <t>Vehicles</t>
  </si>
  <si>
    <t>Transport Manager, School Admin</t>
  </si>
  <si>
    <t>Operations Portal</t>
  </si>
  <si>
    <t>Search, filter and manage records for vehicles.</t>
  </si>
  <si>
    <t>Vehicle, route, stop, driver, student, pickup/drop time, GPS/status</t>
  </si>
  <si>
    <t>SCR-187</t>
  </si>
  <si>
    <t>Add / Edit Vehicle</t>
  </si>
  <si>
    <t>Capture or process the add / edit vehicle workflow while enforcing school rules and validations.</t>
  </si>
  <si>
    <t>SCR-188</t>
  </si>
  <si>
    <t>Vehicle Details</t>
  </si>
  <si>
    <t>Show the complete record and related activity for vehicle details in one structured view.</t>
  </si>
  <si>
    <t>SCR-189</t>
  </si>
  <si>
    <t>Routes</t>
  </si>
  <si>
    <t>Search, filter and manage records for routes.</t>
  </si>
  <si>
    <t>SCR-190</t>
  </si>
  <si>
    <t>Create / Edit Route</t>
  </si>
  <si>
    <t>Capture or process the create / edit route workflow while enforcing school rules and validations.</t>
  </si>
  <si>
    <t>SCR-191</t>
  </si>
  <si>
    <t>Stops</t>
  </si>
  <si>
    <t>Manage the end-to-end stops workflow within transport / bus / gps.</t>
  </si>
  <si>
    <t>SCR-192</t>
  </si>
  <si>
    <t>Drivers &amp; Conductors</t>
  </si>
  <si>
    <t>Manage the end-to-end drivers &amp; conductors workflow within transport / bus / gps.</t>
  </si>
  <si>
    <t>SCR-193</t>
  </si>
  <si>
    <t>Student Route Assignment</t>
  </si>
  <si>
    <t>Transport Manager, School Admin, Parent</t>
  </si>
  <si>
    <t>Manage the end-to-end student route assignment workflow within transport / bus / gps.</t>
  </si>
  <si>
    <t>SCR-194</t>
  </si>
  <si>
    <t>Trip Sheet</t>
  </si>
  <si>
    <t>Manage the end-to-end trip sheet workflow within transport / bus / gps.</t>
  </si>
  <si>
    <t>SCR-195</t>
  </si>
  <si>
    <t>Live GPS Tracking</t>
  </si>
  <si>
    <t>Transport Manager, Driver / Conductor, Parent, School Admin</t>
  </si>
  <si>
    <t>Manage the end-to-end live gps tracking workflow within transport / bus / gps.</t>
  </si>
  <si>
    <t>SCR-196</t>
  </si>
  <si>
    <t>Boarding / Drop Attendance</t>
  </si>
  <si>
    <t>Manage the end-to-end boarding / drop attendance workflow within transport / bus / gps.</t>
  </si>
  <si>
    <t>SCR-197</t>
  </si>
  <si>
    <t>Vehicle Maintenance &amp; Fuel</t>
  </si>
  <si>
    <t>Manage the end-to-end vehicle maintenance &amp; fuel workflow within transport / bus / gps.</t>
  </si>
  <si>
    <t>SCR-198</t>
  </si>
  <si>
    <t>Library Catalogue</t>
  </si>
  <si>
    <t>Librarian, Student, Teacher, School Admin</t>
  </si>
  <si>
    <t>Search, filter and manage records for library catalogue.</t>
  </si>
  <si>
    <t>SCR-199</t>
  </si>
  <si>
    <t>Add / Edit Book</t>
  </si>
  <si>
    <t>Librarian, School Admin, Teacher, Student</t>
  </si>
  <si>
    <t>Capture or process the add / edit book workflow while enforcing school rules and validations.</t>
  </si>
  <si>
    <t>SCR-200</t>
  </si>
  <si>
    <t>Book Details &amp; Copies</t>
  </si>
  <si>
    <t>Show the complete record and related activity for book details &amp; copies in one structured view.</t>
  </si>
  <si>
    <t>SCR-201</t>
  </si>
  <si>
    <t>Library Members</t>
  </si>
  <si>
    <t>Search, filter and manage records for library members.</t>
  </si>
  <si>
    <t>SCR-202</t>
  </si>
  <si>
    <t>Issue Book</t>
  </si>
  <si>
    <t>Librarian, Student, Teacher</t>
  </si>
  <si>
    <t>Manage the end-to-end issue book workflow within library.</t>
  </si>
  <si>
    <t>SCR-203</t>
  </si>
  <si>
    <t>Return Book</t>
  </si>
  <si>
    <t>Manage the end-to-end return book workflow within library.</t>
  </si>
  <si>
    <t>SCR-204</t>
  </si>
  <si>
    <t>Renew / Reserve Book</t>
  </si>
  <si>
    <t>Capture or process the renew / reserve book workflow while enforcing school rules and validations.</t>
  </si>
  <si>
    <t>SCR-205</t>
  </si>
  <si>
    <t>Fine / Lost / Damaged Book</t>
  </si>
  <si>
    <t>Manage the end-to-end fine / lost / damaged book workflow within library.</t>
  </si>
  <si>
    <t>SCR-206</t>
  </si>
  <si>
    <t>Digital Library</t>
  </si>
  <si>
    <t>Manage the end-to-end digital library workflow within library.</t>
  </si>
  <si>
    <t>SCR-207</t>
  </si>
  <si>
    <t>Library Reports</t>
  </si>
  <si>
    <t>Analyze library reports data using filters, summaries and export-ready results.</t>
  </si>
  <si>
    <t>SCR-208</t>
  </si>
  <si>
    <t>Hostels / Buildings</t>
  </si>
  <si>
    <t>Hostel Warden, School Admin, Parent, Student</t>
  </si>
  <si>
    <t>Manage the end-to-end hostels / buildings workflow within hostel.</t>
  </si>
  <si>
    <t>SCR-209</t>
  </si>
  <si>
    <t>Rooms &amp; Beds</t>
  </si>
  <si>
    <t>Manage the end-to-end rooms &amp; beds workflow within hostel.</t>
  </si>
  <si>
    <t>SCR-210</t>
  </si>
  <si>
    <t>Student Hostel Allocation</t>
  </si>
  <si>
    <t>Manage the end-to-end student hostel allocation workflow within hostel.</t>
  </si>
  <si>
    <t>SCR-211</t>
  </si>
  <si>
    <t>Warden Management</t>
  </si>
  <si>
    <t>Manage the end-to-end warden management workflow within hostel.</t>
  </si>
  <si>
    <t>SCR-212</t>
  </si>
  <si>
    <t>Hostel Attendance</t>
  </si>
  <si>
    <t>Manage the end-to-end hostel attendance workflow within hostel.</t>
  </si>
  <si>
    <t>SCR-213</t>
  </si>
  <si>
    <t>Leave / Outing</t>
  </si>
  <si>
    <t>Manage the end-to-end leave / outing workflow within hostel.</t>
  </si>
  <si>
    <t>SCR-214</t>
  </si>
  <si>
    <t>Mess / Meal Schedule</t>
  </si>
  <si>
    <t>Plan and review mess / meal schedule by date, period, class, staff or resource.</t>
  </si>
  <si>
    <t>SCR-215</t>
  </si>
  <si>
    <t>Hostel Complaints &amp; Fees</t>
  </si>
  <si>
    <t>Manage the end-to-end hostel complaints &amp; fees workflow within hostel.</t>
  </si>
  <si>
    <t>SCR-216</t>
  </si>
  <si>
    <t>Health</t>
  </si>
  <si>
    <t>Health Dashboard</t>
  </si>
  <si>
    <t>Nurse / Medical Officer, Counsellor, School Admin, Principal, Parent</t>
  </si>
  <si>
    <t>Provide an at-a-glance operational view of health / counselling / discipline with key status, alerts and shortcuts.</t>
  </si>
  <si>
    <t>SCR-217</t>
  </si>
  <si>
    <t>Student Medical Profile</t>
  </si>
  <si>
    <t>Show the complete record and related activity for student medical profile in one structured view.</t>
  </si>
  <si>
    <t>SCR-218</t>
  </si>
  <si>
    <t>Clinic Visit</t>
  </si>
  <si>
    <t>Manage the end-to-end clinic visit workflow within health / counselling / discipline.</t>
  </si>
  <si>
    <t>SCR-219</t>
  </si>
  <si>
    <t>Medication / First Aid</t>
  </si>
  <si>
    <t>Manage the end-to-end medication / first aid workflow within health / counselling / discipline.</t>
  </si>
  <si>
    <t>SCR-220</t>
  </si>
  <si>
    <t>Immunization / Allergy</t>
  </si>
  <si>
    <t>Manage the end-to-end immunization / allergy workflow within health / counselling / discipline.</t>
  </si>
  <si>
    <t>SCR-221</t>
  </si>
  <si>
    <t>Counselling Appointments</t>
  </si>
  <si>
    <t>Manage the end-to-end counselling appointments workflow within health / counselling / discipline.</t>
  </si>
  <si>
    <t>SCR-222</t>
  </si>
  <si>
    <t>Counselling Case Notes</t>
  </si>
  <si>
    <t>Manage the end-to-end counselling case notes workflow within health / counselling / discipline.</t>
  </si>
  <si>
    <t>SCR-223</t>
  </si>
  <si>
    <t>Behaviour / Discipline Incidents</t>
  </si>
  <si>
    <t>Search, filter and manage records for behaviour / discipline incidents.</t>
  </si>
  <si>
    <t>SCR-224</t>
  </si>
  <si>
    <t>Incident Action &amp; Follow-up</t>
  </si>
  <si>
    <t>Manage the end-to-end incident action &amp; follow-up workflow within health / counselling / discipline.</t>
  </si>
  <si>
    <t>SCR-225</t>
  </si>
  <si>
    <t>Emergency Contacts &amp; Escalation</t>
  </si>
  <si>
    <t>Manage the end-to-end emergency contacts &amp; escalation workflow within health / counselling / discipline.</t>
  </si>
  <si>
    <t>SCR-226</t>
  </si>
  <si>
    <t>Visitor</t>
  </si>
  <si>
    <t>Visitor Dashboard</t>
  </si>
  <si>
    <t>Security, Receptionist, School Admin, Principal</t>
  </si>
  <si>
    <t>Provide an at-a-glance operational view of visitor / gate / security with key status, alerts and shortcuts.</t>
  </si>
  <si>
    <t>SCR-227</t>
  </si>
  <si>
    <t>Visitor Check-in</t>
  </si>
  <si>
    <t>Capture or process the visitor check-in workflow while enforcing school rules and validations.</t>
  </si>
  <si>
    <t>Visitor / person, mobile, ID, purpose, host, vehicle, entry time, exit time, pass status</t>
  </si>
  <si>
    <t>SCR-228</t>
  </si>
  <si>
    <t>Visitor Approval</t>
  </si>
  <si>
    <t>Manage the end-to-end visitor approval workflow within visitor / gate / security.</t>
  </si>
  <si>
    <t>SCR-229</t>
  </si>
  <si>
    <t>Visitor Pass</t>
  </si>
  <si>
    <t>Manage the end-to-end visitor pass workflow within visitor / gate / security.</t>
  </si>
  <si>
    <t>SCR-230</t>
  </si>
  <si>
    <t>Visitor Check-out</t>
  </si>
  <si>
    <t>Manage the end-to-end visitor check-out workflow within visitor / gate / security.</t>
  </si>
  <si>
    <t>SCR-231</t>
  </si>
  <si>
    <t>Student Early Pickup / Gate Pass</t>
  </si>
  <si>
    <t>Manage the end-to-end student early pickup / gate pass workflow within visitor / gate / security.</t>
  </si>
  <si>
    <t>SCR-232</t>
  </si>
  <si>
    <t>Staff &amp; Vehicle Gate Log</t>
  </si>
  <si>
    <t>Manage the end-to-end staff &amp; vehicle gate log workflow within visitor / gate / security.</t>
  </si>
  <si>
    <t>SCR-233</t>
  </si>
  <si>
    <t>Security Incident Log</t>
  </si>
  <si>
    <t>Manage the end-to-end security incident log workflow within visitor / gate / security.</t>
  </si>
  <si>
    <t>SCR-234</t>
  </si>
  <si>
    <t>Inventory</t>
  </si>
  <si>
    <t>Inventory Dashboard</t>
  </si>
  <si>
    <t>Store Manager, Lab Assistant, School Admin, Accountant</t>
  </si>
  <si>
    <t>Provide an at-a-glance operational view of inventory / assets / labs with key status, alerts and shortcuts.</t>
  </si>
  <si>
    <t>SCR-235</t>
  </si>
  <si>
    <t>Item Catalogue</t>
  </si>
  <si>
    <t>Search, filter and manage records for item catalogue.</t>
  </si>
  <si>
    <t>SCR-236</t>
  </si>
  <si>
    <t>Stock In / Purchase Receipt</t>
  </si>
  <si>
    <t>Show the complete record and related activity for stock in / purchase receipt in one structured view.</t>
  </si>
  <si>
    <t>SCR-237</t>
  </si>
  <si>
    <t>Stock Issue / Return</t>
  </si>
  <si>
    <t>Manage the end-to-end stock issue / return workflow within inventory / assets / labs.</t>
  </si>
  <si>
    <t>SCR-238</t>
  </si>
  <si>
    <t>Supplier Management</t>
  </si>
  <si>
    <t>Manage the end-to-end supplier management workflow within inventory / assets / labs.</t>
  </si>
  <si>
    <t>SCR-239</t>
  </si>
  <si>
    <t>Asset Register</t>
  </si>
  <si>
    <t>Show the complete record and related activity for asset register in one structured view.</t>
  </si>
  <si>
    <t>SCR-240</t>
  </si>
  <si>
    <t>Asset Assignment / Transfer</t>
  </si>
  <si>
    <t>Manage the end-to-end asset assignment / transfer workflow within inventory / assets / labs.</t>
  </si>
  <si>
    <t>SCR-241</t>
  </si>
  <si>
    <t>Asset Maintenance</t>
  </si>
  <si>
    <t>Manage the end-to-end asset maintenance workflow within inventory / assets / labs.</t>
  </si>
  <si>
    <t>SCR-242</t>
  </si>
  <si>
    <t>Lab Register</t>
  </si>
  <si>
    <t>Show the complete record and related activity for lab register in one structured view.</t>
  </si>
  <si>
    <t>SCR-243</t>
  </si>
  <si>
    <t>Lab Equipment &amp; Consumables</t>
  </si>
  <si>
    <t>Manage the end-to-end lab equipment &amp; consumables workflow within inventory / assets / labs.</t>
  </si>
  <si>
    <t>SCR-244</t>
  </si>
  <si>
    <t>Practical / Lab Booking</t>
  </si>
  <si>
    <t>Manage the end-to-end practical / lab booking workflow within inventory / assets / labs.</t>
  </si>
  <si>
    <t>SCR-245</t>
  </si>
  <si>
    <t>Stock &amp; Asset Reports</t>
  </si>
  <si>
    <t>Analyze stock &amp; asset reports data using filters, summaries and export-ready results.</t>
  </si>
  <si>
    <t>SCR-246</t>
  </si>
  <si>
    <t>Events</t>
  </si>
  <si>
    <t>Events Calendar</t>
  </si>
  <si>
    <t>School Admin, Principal, Teacher, Parent, Student</t>
  </si>
  <si>
    <t>Plan and review events calendar by date, period, class, staff or resource.</t>
  </si>
  <si>
    <t>SCR-247</t>
  </si>
  <si>
    <t>Create / Edit Event</t>
  </si>
  <si>
    <t>Capture or process the create / edit event workflow while enforcing school rules and validations.</t>
  </si>
  <si>
    <t>SCR-248</t>
  </si>
  <si>
    <t>Event Details &amp; Participants</t>
  </si>
  <si>
    <t>Show the complete record and related activity for event details &amp; participants in one structured view.</t>
  </si>
  <si>
    <t>SCR-249</t>
  </si>
  <si>
    <t>Field Trip &amp; Parent Consent</t>
  </si>
  <si>
    <t>Manage the end-to-end field trip &amp; parent consent workflow within events / ptm / communication.</t>
  </si>
  <si>
    <t>SCR-250</t>
  </si>
  <si>
    <t>PTM Setup</t>
  </si>
  <si>
    <t>Teacher, Parent, School Admin</t>
  </si>
  <si>
    <t>Capture or process the ptm setup workflow while enforcing school rules and validations.</t>
  </si>
  <si>
    <t>SCR-251</t>
  </si>
  <si>
    <t>PTM Slot Booking</t>
  </si>
  <si>
    <t>Manage the end-to-end ptm slot booking workflow within events / ptm / communication.</t>
  </si>
  <si>
    <t>SCR-252</t>
  </si>
  <si>
    <t>Announcements</t>
  </si>
  <si>
    <t>School Admin, Teacher, Parent, Student</t>
  </si>
  <si>
    <t>Search, filter and manage records for announcements.</t>
  </si>
  <si>
    <t>SCR-253</t>
  </si>
  <si>
    <t>Messaging / Inbox</t>
  </si>
  <si>
    <t>Manage the end-to-end messaging / inbox workflow within events / ptm / communication.</t>
  </si>
  <si>
    <t>SCR-254</t>
  </si>
  <si>
    <t>Notification Campaigns</t>
  </si>
  <si>
    <t>Manage the end-to-end notification campaigns workflow within events / ptm / communication.</t>
  </si>
  <si>
    <t>SCR-255</t>
  </si>
  <si>
    <t>Communication History</t>
  </si>
  <si>
    <t>Show the complete record and related activity for communication history in one structured view.</t>
  </si>
  <si>
    <t>SCR-256</t>
  </si>
  <si>
    <t>Document Repository</t>
  </si>
  <si>
    <t>School Admin, Admission Officer, HR, Student, Parent</t>
  </si>
  <si>
    <t>Manage the end-to-end document repository workflow within documents &amp; certificates.</t>
  </si>
  <si>
    <t>SCR-257</t>
  </si>
  <si>
    <t>School Admin, Student, Parent, Admission Officer</t>
  </si>
  <si>
    <t>Manage the end-to-end student documents workflow within documents &amp; certificates.</t>
  </si>
  <si>
    <t>SCR-258</t>
  </si>
  <si>
    <t>Staff Documents</t>
  </si>
  <si>
    <t>HR, School Admin, Employee</t>
  </si>
  <si>
    <t>Manage the end-to-end staff documents workflow within documents &amp; certificates.</t>
  </si>
  <si>
    <t>SCR-259</t>
  </si>
  <si>
    <t>Upload &amp; Verification</t>
  </si>
  <si>
    <t>Manage the end-to-end upload &amp; verification workflow within documents &amp; certificates.</t>
  </si>
  <si>
    <t>Review, Approve / Reject, Comment, Track status, Upload</t>
  </si>
  <si>
    <t>SCR-260</t>
  </si>
  <si>
    <t>Certificate Templates</t>
  </si>
  <si>
    <t>Configure certificate templates rules and master data used across the ERP.</t>
  </si>
  <si>
    <t>SCR-261</t>
  </si>
  <si>
    <t>Generate Certificate</t>
  </si>
  <si>
    <t>Capture or process the generate certificate workflow while enforcing school rules and validations.</t>
  </si>
  <si>
    <t>SCR-262</t>
  </si>
  <si>
    <t>Transfer Certificate</t>
  </si>
  <si>
    <t>Manage the end-to-end transfer certificate workflow within documents &amp; certificates.</t>
  </si>
  <si>
    <t>SCR-263</t>
  </si>
  <si>
    <t>Certificate Register</t>
  </si>
  <si>
    <t>Show the complete record and related activity for certificate register in one structured view.</t>
  </si>
  <si>
    <t>SCR-264</t>
  </si>
  <si>
    <t>Analytics &amp; Reporting</t>
  </si>
  <si>
    <t>Executive Analytics Dashboard</t>
  </si>
  <si>
    <t>School Admin, Principal, Owner / Director, Department Heads</t>
  </si>
  <si>
    <t>Provide an at-a-glance operational view of reports &amp; analytics with key status, alerts and shortcuts.</t>
  </si>
  <si>
    <t>SCR-265</t>
  </si>
  <si>
    <t>Admission Reports</t>
  </si>
  <si>
    <t>Analyze admission reports data using filters, summaries and export-ready results.</t>
  </si>
  <si>
    <t>SCR-266</t>
  </si>
  <si>
    <t>Student Strength Report</t>
  </si>
  <si>
    <t>Analyze student strength report data using filters, summaries and export-ready results.</t>
  </si>
  <si>
    <t>SCR-267</t>
  </si>
  <si>
    <t>Student Demographics</t>
  </si>
  <si>
    <t>Manage the end-to-end student demographics workflow within reports &amp; analytics.</t>
  </si>
  <si>
    <t>SCR-268</t>
  </si>
  <si>
    <t>Attendance Analytics</t>
  </si>
  <si>
    <t>Analyze attendance analytics data using filters, summaries and export-ready results.</t>
  </si>
  <si>
    <t>SCR-269</t>
  </si>
  <si>
    <t>Chronic Absenteeism Report</t>
  </si>
  <si>
    <t>Analyze chronic absenteeism report data using filters, summaries and export-ready results.</t>
  </si>
  <si>
    <t>SCR-270</t>
  </si>
  <si>
    <t>Academic Performance</t>
  </si>
  <si>
    <t>Manage the end-to-end academic performance workflow within reports &amp; analytics.</t>
  </si>
  <si>
    <t>SCR-271</t>
  </si>
  <si>
    <t>Subject Performance</t>
  </si>
  <si>
    <t>Manage the end-to-end subject performance workflow within reports &amp; analytics.</t>
  </si>
  <si>
    <t>SCR-272</t>
  </si>
  <si>
    <t>Exam Result Analysis</t>
  </si>
  <si>
    <t>Show the complete record and related activity for exam result analysis in one structured view.</t>
  </si>
  <si>
    <t>SCR-273</t>
  </si>
  <si>
    <t>Fee Collection Report</t>
  </si>
  <si>
    <t>Capture or process the fee collection report workflow while enforcing school rules and validations.</t>
  </si>
  <si>
    <t>Filter, Drill down, Export, Print, Calculate</t>
  </si>
  <si>
    <t>SCR-274</t>
  </si>
  <si>
    <t>Outstanding Dues Report</t>
  </si>
  <si>
    <t>Analyze outstanding dues report data using filters, summaries and export-ready results.</t>
  </si>
  <si>
    <t>SCR-275</t>
  </si>
  <si>
    <t>Finance Summary</t>
  </si>
  <si>
    <t>Analyze finance summary data using filters, summaries and export-ready results.</t>
  </si>
  <si>
    <t>SCR-276</t>
  </si>
  <si>
    <t>Staff Attendance Report</t>
  </si>
  <si>
    <t>Analyze staff attendance report data using filters, summaries and export-ready results.</t>
  </si>
  <si>
    <t>SCR-277</t>
  </si>
  <si>
    <t>Payroll Summary</t>
  </si>
  <si>
    <t>Analyze payroll summary data using filters, summaries and export-ready results.</t>
  </si>
  <si>
    <t>SCR-278</t>
  </si>
  <si>
    <t>Teacher Performance</t>
  </si>
  <si>
    <t>Manage the end-to-end teacher performance workflow within reports &amp; analytics.</t>
  </si>
  <si>
    <t>SCR-279</t>
  </si>
  <si>
    <t>Transport Utilization</t>
  </si>
  <si>
    <t>Analyze transport utilization data using filters, summaries and export-ready results.</t>
  </si>
  <si>
    <t>SCR-280</t>
  </si>
  <si>
    <t>Library Usage</t>
  </si>
  <si>
    <t>Analyze library usage data using filters, summaries and export-ready results.</t>
  </si>
  <si>
    <t>SCR-281</t>
  </si>
  <si>
    <t>Inventory &amp; Asset Report</t>
  </si>
  <si>
    <t>Analyze inventory &amp; asset report data using filters, summaries and export-ready results.</t>
  </si>
  <si>
    <t>SCR-282</t>
  </si>
  <si>
    <t>Communication / Notification Report</t>
  </si>
  <si>
    <t>Analyze communication / notification report data using filters, summaries and export-ready results.</t>
  </si>
  <si>
    <t>SCR-283</t>
  </si>
  <si>
    <t>Custom Report Builder</t>
  </si>
  <si>
    <t>Analyze custom report builder data using filters, summaries and export-ready results.</t>
  </si>
  <si>
    <t>SCR-284</t>
  </si>
  <si>
    <t>Security &amp; Configuration</t>
  </si>
  <si>
    <t>User Management</t>
  </si>
  <si>
    <t>IT Admin, School Admin, Super Admin</t>
  </si>
  <si>
    <t>Manage the end-to-end user management workflow within settings / roles / permissions / audit.</t>
  </si>
  <si>
    <t>SCR-285</t>
  </si>
  <si>
    <t>Roles</t>
  </si>
  <si>
    <t>Configure roles rules and master data used across the ERP.</t>
  </si>
  <si>
    <t>SCR-286</t>
  </si>
  <si>
    <t>Permissions</t>
  </si>
  <si>
    <t>Configure permissions rules and master data used across the ERP.</t>
  </si>
  <si>
    <t>SCR-287</t>
  </si>
  <si>
    <t>Role Permission Matrix</t>
  </si>
  <si>
    <t>Manage the end-to-end role permission matrix workflow within settings / roles / permissions / audit.</t>
  </si>
  <si>
    <t>SCR-288</t>
  </si>
  <si>
    <t>User Role Assignment</t>
  </si>
  <si>
    <t>Manage the end-to-end user role assignment workflow within settings / roles / permissions / audit.</t>
  </si>
  <si>
    <t>SCR-289</t>
  </si>
  <si>
    <t>School Settings</t>
  </si>
  <si>
    <t>Configure school settings rules and master data used across the ERP.</t>
  </si>
  <si>
    <t>SCR-290</t>
  </si>
  <si>
    <t>Academic Settings</t>
  </si>
  <si>
    <t>Configure academic settings rules and master data used across the ERP.</t>
  </si>
  <si>
    <t>SCR-291</t>
  </si>
  <si>
    <t>Notification Settings</t>
  </si>
  <si>
    <t>Configure notification settings rules and master data used across the ERP.</t>
  </si>
  <si>
    <t>SCR-292</t>
  </si>
  <si>
    <t>Integration / API Settings</t>
  </si>
  <si>
    <t>Configure integration / api settings rules and master data used across the ERP.</t>
  </si>
  <si>
    <t>SCR-293</t>
  </si>
  <si>
    <t>Security &amp; Password Policy</t>
  </si>
  <si>
    <t>Configure security &amp; password policy rules and master data used across the ERP.</t>
  </si>
  <si>
    <t>SCR-294</t>
  </si>
  <si>
    <t>Audit Logs</t>
  </si>
  <si>
    <t>Manage the end-to-end audit logs workflow within settings / roles / permissions / audit.</t>
  </si>
  <si>
    <t>SCR-295</t>
  </si>
  <si>
    <t>Data Import / Export / Backup</t>
  </si>
  <si>
    <t>Manage the end-to-end data import / export / backup workflow within settings / roles / permissions / audit.</t>
  </si>
  <si>
    <t>Role Coverage &amp; Portal Planning</t>
  </si>
  <si>
    <t>Role</t>
  </si>
  <si>
    <t>Accessible / Relevant Screens*</t>
  </si>
  <si>
    <t>Primary Portal</t>
  </si>
  <si>
    <t>Typical Focus</t>
  </si>
  <si>
    <t>UI Emphasis</t>
  </si>
  <si>
    <t>Tenant, plans, platform users, service health</t>
  </si>
  <si>
    <t>Dense dashboards, filters, approvals, drill-down</t>
  </si>
  <si>
    <t>Organization Admin</t>
  </si>
  <si>
    <t>School Admin / Staff Portal</t>
  </si>
  <si>
    <t>Schools, branches, group-level setup</t>
  </si>
  <si>
    <t>Whole-school operations, approvals, configuration</t>
  </si>
  <si>
    <t>Academic, attendance, approvals, performance</t>
  </si>
  <si>
    <t>Academic Coordinator</t>
  </si>
  <si>
    <t>Curriculum, timetable, lesson plans, syllabus</t>
  </si>
  <si>
    <t>Fast actions, readable tables, minimal clicks</t>
  </si>
  <si>
    <t>Enquiries, applications, verification, admission</t>
  </si>
  <si>
    <t>Task-focused, compact, operational</t>
  </si>
  <si>
    <t>Receptionist</t>
  </si>
  <si>
    <t>Enquiries, visitors, appointments, gate workflows</t>
  </si>
  <si>
    <t>Classes, attendance, homework, marks, communication</t>
  </si>
  <si>
    <t>Class Teacher</t>
  </si>
  <si>
    <t>Class attendance, students, parents, progress</t>
  </si>
  <si>
    <t>Learning, timetable, homework, exams, attendance</t>
  </si>
  <si>
    <t>Bright, simple, mobile-friendly, clear status</t>
  </si>
  <si>
    <t>Child progress, attendance, fees, messages, transport</t>
  </si>
  <si>
    <t>Fees, receipts, ledgers, finance</t>
  </si>
  <si>
    <t>Staff, attendance, leave, recruitment, payroll</t>
  </si>
  <si>
    <t>Employee</t>
  </si>
  <si>
    <t>Self-service attendance, leave, payslips</t>
  </si>
  <si>
    <t>Exam Coordinator</t>
  </si>
  <si>
    <t>Exam setup, schedule, marks, results</t>
  </si>
  <si>
    <t>Routes, vehicles, students, trips, GPS</t>
  </si>
  <si>
    <t>Driver / Conductor</t>
  </si>
  <si>
    <t>Trips, boarding/drop, route execution</t>
  </si>
  <si>
    <t>Catalogue, issue/return, fines, reports</t>
  </si>
  <si>
    <t>Hostel Warden</t>
  </si>
  <si>
    <t>Rooms, attendance, leave, complaints</t>
  </si>
  <si>
    <t>Nurse / Medical Officer</t>
  </si>
  <si>
    <t>Medical profile, clinic visits, first aid</t>
  </si>
  <si>
    <t>Counsellor</t>
  </si>
  <si>
    <t>Appointments, confidential case follow-up</t>
  </si>
  <si>
    <t>Security</t>
  </si>
  <si>
    <t>Visitors, passes, gate logs, incidents</t>
  </si>
  <si>
    <t>Store Manager</t>
  </si>
  <si>
    <t>Inventory, stock, suppliers, assets</t>
  </si>
  <si>
    <t>Lab Assistant</t>
  </si>
  <si>
    <t>Lab stock, equipment, bookings</t>
  </si>
  <si>
    <t>IT Admin</t>
  </si>
  <si>
    <t>Users, roles, security, integrations, audit</t>
  </si>
  <si>
    <t>*Counts are based on the Primary Roles column and are for planning access/navigation, not a replacement for the final RBAC permission matrix.</t>
  </si>
  <si>
    <t>Recommended Delivery Plan</t>
  </si>
  <si>
    <t>Phase</t>
  </si>
  <si>
    <t>Goal</t>
  </si>
  <si>
    <t>Suggested Order</t>
  </si>
  <si>
    <t>Entry Criteria</t>
  </si>
  <si>
    <t>Exit Criteria</t>
  </si>
  <si>
    <t>Primary Users</t>
  </si>
  <si>
    <t>Design / Engineering Focus</t>
  </si>
  <si>
    <t>Run the core school lifecycle from setup and admission through academics, attendance, exams, fees and essential communication.</t>
  </si>
  <si>
    <t>Foundation → Auth → School Setup → Students/Staff → Admissions → Academics → Attendance → Homework → Exams → Fees → Core Reports</t>
  </si>
  <si>
    <t>Approved product scope, roles, academic structure and core data model.</t>
  </si>
  <si>
    <t>Core journeys pass UAT; role access works; responsive UI; no critical workflow gaps.</t>
  </si>
  <si>
    <t>School Admin, Principal, Teacher, Student, Parent, Admission, Accountant</t>
  </si>
  <si>
    <t>Reusable shell, sidebar, dashboard patterns, tables, forms, profiles, approvals.</t>
  </si>
  <si>
    <t>Expand operations into HR, transport, library, security, inventory and advanced workflow automation.</t>
  </si>
  <si>
    <t>HR → Transport → Library → Security → Inventory → Advanced Communication → Extended Reports</t>
  </si>
  <si>
    <t>Stable MVP, production feedback, integrations clarified.</t>
  </si>
  <si>
    <t>Department workflows complete; reporting and integrations validated.</t>
  </si>
  <si>
    <t>HR, Transport, Librarian, Security, Store/Lab teams plus existing users</t>
  </si>
  <si>
    <t>Operational speed, bulk actions, device/GPS/payment integration readiness.</t>
  </si>
  <si>
    <t>Add hostel, health/counselling, advanced analytics and other enterprise enhancements.</t>
  </si>
  <si>
    <t>Hostel → Health/Counselling → Advanced Reports → Custom Reporting / Optimization</t>
  </si>
  <si>
    <t>Phase 2 adoption, privacy/access requirements finalized.</t>
  </si>
  <si>
    <t>Optional enterprise modules accepted with strict access controls and auditability.</t>
  </si>
  <si>
    <t>Hostel Warden, Nurse, Counsellor, Leadership</t>
  </si>
  <si>
    <t>Sensitive-data UX, analytics depth, exception workflows, enterprise controls.</t>
  </si>
  <si>
    <t>Used For</t>
  </si>
  <si>
    <t>Core Components</t>
  </si>
  <si>
    <t>Design Direction</t>
  </si>
  <si>
    <t>Role dashboards and module dashboards</t>
  </si>
  <si>
    <t>KPI cards, alerts, charts, quick actions, recent activity</t>
  </si>
  <si>
    <t>Bright but controlled accents; no excessive card clutter</t>
  </si>
  <si>
    <t>Directories, lists, masters</t>
  </si>
  <si>
    <t>Search, dropdown filters, table, status, action menu, pagination</t>
  </si>
  <si>
    <t>Compact, readable, sticky header where useful</t>
  </si>
  <si>
    <t>Student, staff, parent, asset, vehicle records</t>
  </si>
  <si>
    <t>Profile header, summary, tabs, timeline, actions</t>
  </si>
  <si>
    <t>Strong hierarchy; avoid card-inside-card layouts</t>
  </si>
  <si>
    <t>Admissions, student/staff create, setup</t>
  </si>
  <si>
    <t>Grouped fields, dropdowns, validations, stepper when needed</t>
  </si>
  <si>
    <t>44–48px controls; clear sections; minimal wasted space</t>
  </si>
  <si>
    <t>Timetable, events, exams, interviews, PTM</t>
  </si>
  <si>
    <t>Calendar, day/week view, filters, assignment drawer</t>
  </si>
  <si>
    <t>Clear time hierarchy and conflict states</t>
  </si>
  <si>
    <t>Admissions, leave, verification, approvals</t>
  </si>
  <si>
    <t>Status stepper, detail, comments, approve/reject actions</t>
  </si>
  <si>
    <t>Prominent current status and audit trail</t>
  </si>
  <si>
    <t>Reports &amp; analytics</t>
  </si>
  <si>
    <t>Filter bar, KPI summary, chart, table, export</t>
  </si>
  <si>
    <t>Data-first, printable, avoid decorative charts</t>
  </si>
  <si>
    <t>Configuration, roles, policies</t>
  </si>
  <si>
    <t>Tabs, compact forms, toggles, lists</t>
  </si>
  <si>
    <t>Stable, predictable, permission-aware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</si>
</sst>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rlito"/>
    </font>
    <font>
      <b/>
      <sz val="10"/>
      <color rgb="FF17324D"/>
      <name val="Aptos"/>
    </font>
    <font>
      <sz val="10"/>
      <color rgb="FF17324D"/>
      <name val="Aptos"/>
    </font>
    <font>
      <i/>
      <sz val="10"/>
      <color rgb="FF17324D"/>
      <name val="Aptos"/>
    </font>
    <font>
      <b/>
      <sz val="20"/>
      <color rgb="FFFFFFFF"/>
      <name val="Aptos Display"/>
    </font>
    <font>
      <b/>
      <sz val="11"/>
      <color rgb="FFFFFFFF"/>
      <name val="Aptos"/>
    </font>
    <font>
      <b/>
      <sz val="18"/>
      <color rgb="FFFFFFFF"/>
      <name val="Aptos Display"/>
    </font>
  </fonts>
  <fills count="9">
    <fill>
      <patternFill patternType="none"/>
    </fill>
    <fill>
      <patternFill patternType="gray125"/>
    </fill>
    <fill>
      <patternFill patternType="solid">
        <fgColor rgb="FF123A70"/>
      </patternFill>
    </fill>
    <fill>
      <patternFill patternType="solid">
        <fgColor rgb="FFEAF4FF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3E8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 vertical="center"/>
    </xf>
    <xf numFmtId="0" fontId="2" fillId="6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2" fillId="7" borderId="0" xfId="0" applyNumberFormat="1" applyFont="1" applyFill="1" applyBorder="1" applyAlignment="1">
      <alignment wrapText="1"/>
    </xf>
    <xf numFmtId="0" fontId="2" fillId="8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0" fontId="2" fillId="6" borderId="0" xfId="0" applyNumberFormat="1" applyFont="1" applyFill="1" applyBorder="1" applyAlignment="1">
      <alignment vertical="top" wrapText="1"/>
    </xf>
    <xf numFmtId="0" fontId="2" fillId="7" borderId="0" xfId="0" applyNumberFormat="1" applyFont="1" applyFill="1" applyBorder="1" applyAlignment="1">
      <alignment vertical="top" wrapText="1"/>
    </xf>
    <xf numFmtId="0" fontId="2" fillId="8" borderId="1" xfId="0" applyNumberFormat="1" applyFont="1" applyFill="1" applyBorder="1" applyAlignment="1">
      <alignment vertical="top" wrapText="1"/>
    </xf>
    <xf numFmtId="0" fontId="5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5" borderId="3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0" fontId="1" fillId="3" borderId="6" xfId="0" applyNumberFormat="1" applyFont="1" applyFill="1" applyBorder="1" applyAlignment="1">
      <alignment horizontal="center" vertical="center"/>
    </xf>
    <xf numFmtId="0" fontId="1" fillId="3" borderId="7" xfId="0" applyNumberFormat="1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/>
    </xf>
    <xf numFmtId="0" fontId="1" fillId="4" borderId="6" xfId="0" applyNumberFormat="1" applyFont="1" applyFill="1" applyBorder="1" applyAlignment="1">
      <alignment horizontal="center" vertical="center"/>
    </xf>
    <xf numFmtId="0" fontId="1" fillId="4" borderId="7" xfId="0" applyNumberFormat="1" applyFont="1" applyFill="1" applyBorder="1" applyAlignment="1">
      <alignment horizontal="center" vertical="center"/>
    </xf>
    <xf numFmtId="0" fontId="1" fillId="5" borderId="4" xfId="0" applyNumberFormat="1" applyFont="1" applyFill="1" applyBorder="1" applyAlignment="1">
      <alignment horizontal="center" vertical="center"/>
    </xf>
    <xf numFmtId="0" fontId="1" fillId="5" borderId="5" xfId="0" applyNumberFormat="1" applyFont="1" applyFill="1" applyBorder="1" applyAlignment="1">
      <alignment horizontal="center" vertical="center"/>
    </xf>
    <xf numFmtId="0" fontId="1" fillId="5" borderId="6" xfId="0" applyNumberFormat="1" applyFont="1" applyFill="1" applyBorder="1" applyAlignment="1">
      <alignment horizontal="center" vertical="center"/>
    </xf>
    <xf numFmtId="0" fontId="1" fillId="5" borderId="7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vertical="center"/>
    </xf>
    <xf numFmtId="0" fontId="3" fillId="5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/>
  </cellXfs>
  <cellStyles count="1">
    <cellStyle name="Normal" xfId="0" builtinId="0"/>
  </cellStyles>
  <dxfs count="3">
    <dxf>
      <font>
        <b/>
        <color rgb="FF7E22CE"/>
      </font>
      <fill>
        <patternFill patternType="solid">
          <bgColor rgb="FFF3E8FF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t>Screens by Module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Screens</c:v>
          </c:tx>
          <c:invertIfNegative val="1"/>
          <c:cat>
            <c:strRef>
              <c:f>'ERP Blueprint'!$A$16:$A$40</c:f>
              <c:strCache>
                <c:ptCount val="25"/>
                <c:pt idx="0">
                  <c:v>Public Website &amp; Authentication</c:v>
                </c:pt>
                <c:pt idx="1">
                  <c:v>Super Admin / SaaS Administration</c:v>
                </c:pt>
                <c:pt idx="2">
                  <c:v>Organization / School / Branch Setup</c:v>
                </c:pt>
                <c:pt idx="3">
                  <c:v>Role Dashboards</c:v>
                </c:pt>
                <c:pt idx="4">
                  <c:v>Admissions &amp; Enquiries</c:v>
                </c:pt>
                <c:pt idx="5">
                  <c:v>Students</c:v>
                </c:pt>
                <c:pt idx="6">
                  <c:v>Parents &amp; Guardians</c:v>
                </c:pt>
                <c:pt idx="7">
                  <c:v>Teachers &amp; Staff</c:v>
                </c:pt>
                <c:pt idx="8">
                  <c:v>Academics &amp; Curriculum</c:v>
                </c:pt>
                <c:pt idx="9">
                  <c:v>Student Attendance</c:v>
                </c:pt>
                <c:pt idx="10">
                  <c:v>Timetable &amp; Substitution</c:v>
                </c:pt>
                <c:pt idx="11">
                  <c:v>Homework &amp; Assignments</c:v>
                </c:pt>
                <c:pt idx="12">
                  <c:v>Examinations / Marks / Results</c:v>
                </c:pt>
                <c:pt idx="13">
                  <c:v>Fees &amp; Finance</c:v>
                </c:pt>
                <c:pt idx="14">
                  <c:v>HR / Leave / Payroll</c:v>
                </c:pt>
                <c:pt idx="15">
                  <c:v>Transport / Bus / GPS</c:v>
                </c:pt>
                <c:pt idx="16">
                  <c:v>Library</c:v>
                </c:pt>
                <c:pt idx="17">
                  <c:v>Hostel</c:v>
                </c:pt>
                <c:pt idx="18">
                  <c:v>Health / Counselling / Discipline</c:v>
                </c:pt>
                <c:pt idx="19">
                  <c:v>Visitor / Gate / Security</c:v>
                </c:pt>
                <c:pt idx="20">
                  <c:v>Inventory / Assets / Labs</c:v>
                </c:pt>
                <c:pt idx="21">
                  <c:v>Events / PTM / Communication</c:v>
                </c:pt>
                <c:pt idx="22">
                  <c:v>Documents &amp; Certificates</c:v>
                </c:pt>
                <c:pt idx="23">
                  <c:v>Reports &amp; Analytics</c:v>
                </c:pt>
                <c:pt idx="24">
                  <c:v>Settings / Roles / Permissions / Audit</c:v>
                </c:pt>
              </c:strCache>
            </c:strRef>
          </c:cat>
          <c:val>
            <c:numRef>
              <c:f>'ERP Blueprint'!$B$16:$B$40</c:f>
              <c:numCache>
                <c:formatCode>General</c:formatCode>
                <c:ptCount val="25"/>
                <c:pt idx="0">
                  <c:v>8</c:v>
                </c:pt>
                <c:pt idx="1">
                  <c:v>12</c:v>
                </c:pt>
                <c:pt idx="2">
                  <c:v>12</c:v>
                </c:pt>
                <c:pt idx="3">
                  <c:v>10</c:v>
                </c:pt>
                <c:pt idx="4">
                  <c:v>12</c:v>
                </c:pt>
                <c:pt idx="5">
                  <c:v>16</c:v>
                </c:pt>
                <c:pt idx="6">
                  <c:v>9</c:v>
                </c:pt>
                <c:pt idx="7">
                  <c:v>12</c:v>
                </c:pt>
                <c:pt idx="8">
                  <c:v>18</c:v>
                </c:pt>
                <c:pt idx="9">
                  <c:v>10</c:v>
                </c:pt>
                <c:pt idx="10">
                  <c:v>8</c:v>
                </c:pt>
                <c:pt idx="11">
                  <c:v>10</c:v>
                </c:pt>
                <c:pt idx="12">
                  <c:v>16</c:v>
                </c:pt>
                <c:pt idx="13">
                  <c:v>18</c:v>
                </c:pt>
                <c:pt idx="14">
                  <c:v>14</c:v>
                </c:pt>
                <c:pt idx="15">
                  <c:v>12</c:v>
                </c:pt>
                <c:pt idx="16">
                  <c:v>10</c:v>
                </c:pt>
                <c:pt idx="17">
                  <c:v>8</c:v>
                </c:pt>
                <c:pt idx="18">
                  <c:v>10</c:v>
                </c:pt>
                <c:pt idx="19">
                  <c:v>8</c:v>
                </c:pt>
                <c:pt idx="20">
                  <c:v>12</c:v>
                </c:pt>
                <c:pt idx="21">
                  <c:v>10</c:v>
                </c:pt>
                <c:pt idx="22">
                  <c:v>8</c:v>
                </c:pt>
                <c:pt idx="23">
                  <c:v>20</c:v>
                </c:pt>
                <c:pt idx="2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64326304"/>
        <c:axId val="-2064330112"/>
      </c:barChart>
      <c:catAx>
        <c:axId val="-206432630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2064330112"/>
        <c:crosses val="autoZero"/>
        <c:auto val="1"/>
        <c:lblAlgn val="ctr"/>
        <c:lblOffset val="100"/>
        <c:noMultiLvlLbl val="0"/>
      </c:catAx>
      <c:valAx>
        <c:axId val="-206433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2064326304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asterScreensTable" displayName="MasterScreensTable" ref="A1:M296" totalsRowShown="0">
  <tableColumns count="13">
    <tableColumn id="1" name="Screen ID"/>
    <tableColumn id="2" name="Module"/>
    <tableColumn id="3" name="Submodule"/>
    <tableColumn id="4" name="Screen Name"/>
    <tableColumn id="5" name="Primary Roles"/>
    <tableColumn id="6" name="Portal"/>
    <tableColumn id="7" name="Screen Type"/>
    <tableColumn id="8" name="Purpose"/>
    <tableColumn id="9" name="Key Actions"/>
    <tableColumn id="10" name="Key Data / Fields"/>
    <tableColumn id="11" name="Priority"/>
    <tableColumn id="12" name="Reusable UI Pattern"/>
    <tableColumn id="13" name="Implementa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0"/>
  <sheetViews>
    <sheetView workbookViewId="0"/>
  </sheetViews>
  <sheetFormatPr defaultRowHeight="14"/>
  <cols>
    <col min="1" max="1" width="36" customWidth="1"/>
    <col min="2" max="3" width="14" customWidth="1"/>
    <col min="4" max="4" width="18" customWidth="1"/>
    <col min="5" max="8" width="15" customWidth="1"/>
  </cols>
  <sheetData>
    <row r="1" spans="1:26">
      <c r="A1" s="16" t="s">
        <v>0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/>
      <c r="B2" s="16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7" t="s">
        <v>1</v>
      </c>
      <c r="B3" s="17"/>
      <c r="C3" s="17"/>
      <c r="D3" s="17"/>
      <c r="E3" s="17"/>
      <c r="F3" s="17"/>
      <c r="G3" s="17"/>
      <c r="H3" s="1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8" t="s">
        <v>2</v>
      </c>
      <c r="B5" s="19"/>
      <c r="C5" s="2"/>
      <c r="D5" s="20" t="s">
        <v>3</v>
      </c>
      <c r="E5" s="21"/>
      <c r="F5" s="2"/>
      <c r="G5" s="22" t="s">
        <v>4</v>
      </c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4">
        <f>COUNTA('Master Screens'!A2:A296)</f>
        <v>295</v>
      </c>
      <c r="B6" s="25"/>
      <c r="C6" s="2"/>
      <c r="D6" s="28">
        <v>25</v>
      </c>
      <c r="E6" s="29"/>
      <c r="F6" s="2"/>
      <c r="G6" s="32">
        <v>3</v>
      </c>
      <c r="H6" s="3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6"/>
      <c r="B7" s="27"/>
      <c r="C7" s="2"/>
      <c r="D7" s="30"/>
      <c r="E7" s="31"/>
      <c r="F7" s="2"/>
      <c r="G7" s="34"/>
      <c r="H7" s="3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5" t="s">
        <v>5</v>
      </c>
      <c r="B9" s="15" t="s">
        <v>6</v>
      </c>
      <c r="C9" s="15" t="s">
        <v>7</v>
      </c>
      <c r="D9" s="15" t="s">
        <v>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0.5">
      <c r="A10" s="3" t="s">
        <v>9</v>
      </c>
      <c r="B10" s="4">
        <f>COUNTIF('Master Screens'!K$2:K$296,"MVP")</f>
        <v>100</v>
      </c>
      <c r="C10" s="4" t="s">
        <v>10</v>
      </c>
      <c r="D10" s="4" t="s">
        <v>11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3">
      <c r="A11" s="5" t="s">
        <v>12</v>
      </c>
      <c r="B11" s="4">
        <f>COUNTIF('Master Screens'!K$2:K$296,"Phase 2")</f>
        <v>92</v>
      </c>
      <c r="C11" s="4" t="s">
        <v>13</v>
      </c>
      <c r="D11" s="4" t="s">
        <v>14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0.5">
      <c r="A12" s="6" t="s">
        <v>15</v>
      </c>
      <c r="B12" s="7">
        <f>COUNTIF('Master Screens'!K$2:K$296,"Phase 3")</f>
        <v>103</v>
      </c>
      <c r="C12" s="7" t="s">
        <v>16</v>
      </c>
      <c r="D12" s="7" t="s">
        <v>17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5" t="s">
        <v>18</v>
      </c>
      <c r="B15" s="15" t="s">
        <v>19</v>
      </c>
      <c r="C15" s="15" t="s">
        <v>9</v>
      </c>
      <c r="D15" s="15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 t="s">
        <v>21</v>
      </c>
      <c r="B16" s="8">
        <f>COUNTIF('Master Screens'!B$2:B$296,A16)</f>
        <v>8</v>
      </c>
      <c r="C16" s="8">
        <f>COUNTIFS('Master Screens'!B$2:B$296,A16,'Master Screens'!K$2:K$296,"MVP")</f>
        <v>5</v>
      </c>
      <c r="D16" s="8">
        <f t="shared" ref="D16:D40" si="0">B16-C16</f>
        <v>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 t="s">
        <v>22</v>
      </c>
      <c r="B17" s="8">
        <f>COUNTIF('Master Screens'!B$2:B$296,A17)</f>
        <v>12</v>
      </c>
      <c r="C17" s="8">
        <f>COUNTIFS('Master Screens'!B$2:B$296,A17,'Master Screens'!K$2:K$296,"MVP")</f>
        <v>3</v>
      </c>
      <c r="D17" s="8">
        <f t="shared" si="0"/>
        <v>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 t="s">
        <v>23</v>
      </c>
      <c r="B18" s="8">
        <f>COUNTIF('Master Screens'!B$2:B$296,A18)</f>
        <v>12</v>
      </c>
      <c r="C18" s="8">
        <f>COUNTIFS('Master Screens'!B$2:B$296,A18,'Master Screens'!K$2:K$296,"MVP")</f>
        <v>8</v>
      </c>
      <c r="D18" s="8">
        <f t="shared" si="0"/>
        <v>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 t="s">
        <v>24</v>
      </c>
      <c r="B19" s="8">
        <f>COUNTIF('Master Screens'!B$2:B$296,A19)</f>
        <v>10</v>
      </c>
      <c r="C19" s="8">
        <f>COUNTIFS('Master Screens'!B$2:B$296,A19,'Master Screens'!K$2:K$296,"MVP")</f>
        <v>5</v>
      </c>
      <c r="D19" s="8">
        <f t="shared" si="0"/>
        <v>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 t="s">
        <v>25</v>
      </c>
      <c r="B20" s="8">
        <f>COUNTIF('Master Screens'!B$2:B$296,A20)</f>
        <v>12</v>
      </c>
      <c r="C20" s="8">
        <f>COUNTIFS('Master Screens'!B$2:B$296,A20,'Master Screens'!K$2:K$296,"MVP")</f>
        <v>7</v>
      </c>
      <c r="D20" s="8">
        <f t="shared" si="0"/>
        <v>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 t="s">
        <v>26</v>
      </c>
      <c r="B21" s="8">
        <f>COUNTIF('Master Screens'!B$2:B$296,A21)</f>
        <v>16</v>
      </c>
      <c r="C21" s="8">
        <f>COUNTIFS('Master Screens'!B$2:B$296,A21,'Master Screens'!K$2:K$296,"MVP")</f>
        <v>8</v>
      </c>
      <c r="D21" s="8">
        <f t="shared" si="0"/>
        <v>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 t="s">
        <v>27</v>
      </c>
      <c r="B22" s="8">
        <f>COUNTIF('Master Screens'!B$2:B$296,A22)</f>
        <v>9</v>
      </c>
      <c r="C22" s="8">
        <f>COUNTIFS('Master Screens'!B$2:B$296,A22,'Master Screens'!K$2:K$296,"MVP")</f>
        <v>4</v>
      </c>
      <c r="D22" s="8">
        <f t="shared" si="0"/>
        <v>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 t="s">
        <v>28</v>
      </c>
      <c r="B23" s="8">
        <f>COUNTIF('Master Screens'!B$2:B$296,A23)</f>
        <v>12</v>
      </c>
      <c r="C23" s="8">
        <f>COUNTIFS('Master Screens'!B$2:B$296,A23,'Master Screens'!K$2:K$296,"MVP")</f>
        <v>6</v>
      </c>
      <c r="D23" s="8">
        <f t="shared" si="0"/>
        <v>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 t="s">
        <v>29</v>
      </c>
      <c r="B24" s="8">
        <f>COUNTIF('Master Screens'!B$2:B$296,A24)</f>
        <v>18</v>
      </c>
      <c r="C24" s="8">
        <f>COUNTIFS('Master Screens'!B$2:B$296,A24,'Master Screens'!K$2:K$296,"MVP")</f>
        <v>9</v>
      </c>
      <c r="D24" s="8">
        <f t="shared" si="0"/>
        <v>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 t="s">
        <v>30</v>
      </c>
      <c r="B25" s="8">
        <f>COUNTIF('Master Screens'!B$2:B$296,A25)</f>
        <v>10</v>
      </c>
      <c r="C25" s="8">
        <f>COUNTIFS('Master Screens'!B$2:B$296,A25,'Master Screens'!K$2:K$296,"MVP")</f>
        <v>5</v>
      </c>
      <c r="D25" s="8">
        <f t="shared" si="0"/>
        <v>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 t="s">
        <v>31</v>
      </c>
      <c r="B26" s="8">
        <f>COUNTIF('Master Screens'!B$2:B$296,A26)</f>
        <v>8</v>
      </c>
      <c r="C26" s="8">
        <f>COUNTIFS('Master Screens'!B$2:B$296,A26,'Master Screens'!K$2:K$296,"MVP")</f>
        <v>4</v>
      </c>
      <c r="D26" s="8">
        <f t="shared" si="0"/>
        <v>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 t="s">
        <v>32</v>
      </c>
      <c r="B27" s="8">
        <f>COUNTIF('Master Screens'!B$2:B$296,A27)</f>
        <v>10</v>
      </c>
      <c r="C27" s="8">
        <f>COUNTIFS('Master Screens'!B$2:B$296,A27,'Master Screens'!K$2:K$296,"MVP")</f>
        <v>6</v>
      </c>
      <c r="D27" s="8">
        <f t="shared" si="0"/>
        <v>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 t="s">
        <v>33</v>
      </c>
      <c r="B28" s="8">
        <f>COUNTIF('Master Screens'!B$2:B$296,A28)</f>
        <v>16</v>
      </c>
      <c r="C28" s="8">
        <f>COUNTIFS('Master Screens'!B$2:B$296,A28,'Master Screens'!K$2:K$296,"MVP")</f>
        <v>8</v>
      </c>
      <c r="D28" s="8">
        <f t="shared" si="0"/>
        <v>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 t="s">
        <v>34</v>
      </c>
      <c r="B29" s="8">
        <f>COUNTIF('Master Screens'!B$2:B$296,A29)</f>
        <v>18</v>
      </c>
      <c r="C29" s="8">
        <f>COUNTIFS('Master Screens'!B$2:B$296,A29,'Master Screens'!K$2:K$296,"MVP")</f>
        <v>8</v>
      </c>
      <c r="D29" s="8">
        <f t="shared" si="0"/>
        <v>10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 t="s">
        <v>35</v>
      </c>
      <c r="B30" s="8">
        <f>COUNTIF('Master Screens'!B$2:B$296,A30)</f>
        <v>14</v>
      </c>
      <c r="C30" s="8">
        <f>COUNTIFS('Master Screens'!B$2:B$296,A30,'Master Screens'!K$2:K$296,"MVP")</f>
        <v>0</v>
      </c>
      <c r="D30" s="8">
        <f t="shared" si="0"/>
        <v>14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 t="s">
        <v>36</v>
      </c>
      <c r="B31" s="8">
        <f>COUNTIF('Master Screens'!B$2:B$296,A31)</f>
        <v>12</v>
      </c>
      <c r="C31" s="8">
        <f>COUNTIFS('Master Screens'!B$2:B$296,A31,'Master Screens'!K$2:K$296,"MVP")</f>
        <v>0</v>
      </c>
      <c r="D31" s="8">
        <f t="shared" si="0"/>
        <v>12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" t="s">
        <v>37</v>
      </c>
      <c r="B32" s="8">
        <f>COUNTIF('Master Screens'!B$2:B$296,A32)</f>
        <v>10</v>
      </c>
      <c r="C32" s="8">
        <f>COUNTIFS('Master Screens'!B$2:B$296,A32,'Master Screens'!K$2:K$296,"MVP")</f>
        <v>0</v>
      </c>
      <c r="D32" s="8">
        <f t="shared" si="0"/>
        <v>10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 t="s">
        <v>38</v>
      </c>
      <c r="B33" s="8">
        <f>COUNTIF('Master Screens'!B$2:B$296,A33)</f>
        <v>8</v>
      </c>
      <c r="C33" s="8">
        <f>COUNTIFS('Master Screens'!B$2:B$296,A33,'Master Screens'!K$2:K$296,"MVP")</f>
        <v>0</v>
      </c>
      <c r="D33" s="8">
        <f t="shared" si="0"/>
        <v>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 t="s">
        <v>39</v>
      </c>
      <c r="B34" s="8">
        <f>COUNTIF('Master Screens'!B$2:B$296,A34)</f>
        <v>10</v>
      </c>
      <c r="C34" s="8">
        <f>COUNTIFS('Master Screens'!B$2:B$296,A34,'Master Screens'!K$2:K$296,"MVP")</f>
        <v>0</v>
      </c>
      <c r="D34" s="8">
        <f t="shared" si="0"/>
        <v>10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 t="s">
        <v>40</v>
      </c>
      <c r="B35" s="8">
        <f>COUNTIF('Master Screens'!B$2:B$296,A35)</f>
        <v>8</v>
      </c>
      <c r="C35" s="8">
        <f>COUNTIFS('Master Screens'!B$2:B$296,A35,'Master Screens'!K$2:K$296,"MVP")</f>
        <v>0</v>
      </c>
      <c r="D35" s="8">
        <f t="shared" si="0"/>
        <v>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 t="s">
        <v>41</v>
      </c>
      <c r="B36" s="8">
        <f>COUNTIF('Master Screens'!B$2:B$296,A36)</f>
        <v>12</v>
      </c>
      <c r="C36" s="8">
        <f>COUNTIFS('Master Screens'!B$2:B$296,A36,'Master Screens'!K$2:K$296,"MVP")</f>
        <v>0</v>
      </c>
      <c r="D36" s="8">
        <f t="shared" si="0"/>
        <v>12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 t="s">
        <v>42</v>
      </c>
      <c r="B37" s="8">
        <f>COUNTIF('Master Screens'!B$2:B$296,A37)</f>
        <v>10</v>
      </c>
      <c r="C37" s="8">
        <f>COUNTIFS('Master Screens'!B$2:B$296,A37,'Master Screens'!K$2:K$296,"MVP")</f>
        <v>3</v>
      </c>
      <c r="D37" s="8">
        <f t="shared" si="0"/>
        <v>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" t="s">
        <v>43</v>
      </c>
      <c r="B38" s="8">
        <f>COUNTIF('Master Screens'!B$2:B$296,A38)</f>
        <v>8</v>
      </c>
      <c r="C38" s="8">
        <f>COUNTIFS('Master Screens'!B$2:B$296,A38,'Master Screens'!K$2:K$296,"MVP")</f>
        <v>2</v>
      </c>
      <c r="D38" s="8">
        <f t="shared" si="0"/>
        <v>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 t="s">
        <v>44</v>
      </c>
      <c r="B39" s="8">
        <f>COUNTIF('Master Screens'!B$2:B$296,A39)</f>
        <v>20</v>
      </c>
      <c r="C39" s="8">
        <f>COUNTIFS('Master Screens'!B$2:B$296,A39,'Master Screens'!K$2:K$296,"MVP")</f>
        <v>4</v>
      </c>
      <c r="D39" s="8">
        <f t="shared" si="0"/>
        <v>16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7" t="s">
        <v>45</v>
      </c>
      <c r="B40" s="9">
        <f>COUNTIF('Master Screens'!B$2:B$296,A40)</f>
        <v>12</v>
      </c>
      <c r="C40" s="9">
        <f>COUNTIFS('Master Screens'!B$2:B$296,A40,'Master Screens'!K$2:K$296,"MVP")</f>
        <v>5</v>
      </c>
      <c r="D40" s="9">
        <f t="shared" si="0"/>
        <v>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</sheetData>
  <mergeCells count="8">
    <mergeCell ref="A6:B7"/>
    <mergeCell ref="D6:E7"/>
    <mergeCell ref="G6:H7"/>
    <mergeCell ref="A1:H2"/>
    <mergeCell ref="A3:H3"/>
    <mergeCell ref="A5:B5"/>
    <mergeCell ref="D5:E5"/>
    <mergeCell ref="G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0"/>
  <sheetViews>
    <sheetView topLeftCell="J1" workbookViewId="0">
      <selection activeCell="M2" sqref="M2"/>
    </sheetView>
  </sheetViews>
  <sheetFormatPr defaultRowHeight="14"/>
  <cols>
    <col min="1" max="1" width="11" customWidth="1"/>
    <col min="2" max="2" width="28" customWidth="1"/>
    <col min="3" max="3" width="23" customWidth="1"/>
    <col min="4" max="4" width="30" customWidth="1"/>
    <col min="5" max="5" width="34" customWidth="1"/>
    <col min="6" max="6" width="23" customWidth="1"/>
    <col min="7" max="7" width="20" customWidth="1"/>
    <col min="8" max="8" width="48" customWidth="1"/>
    <col min="9" max="9" width="38" customWidth="1"/>
    <col min="10" max="10" width="48" customWidth="1"/>
    <col min="11" max="11" width="12" customWidth="1"/>
    <col min="12" max="12" width="25" customWidth="1"/>
    <col min="13" max="13" width="42" customWidth="1"/>
  </cols>
  <sheetData>
    <row r="1" spans="1:26" ht="18.649999999999999" customHeight="1">
      <c r="A1" s="15" t="s">
        <v>46</v>
      </c>
      <c r="B1" s="15" t="s">
        <v>18</v>
      </c>
      <c r="C1" s="15" t="s">
        <v>47</v>
      </c>
      <c r="D1" s="15" t="s">
        <v>48</v>
      </c>
      <c r="E1" s="15" t="s">
        <v>49</v>
      </c>
      <c r="F1" s="15" t="s">
        <v>50</v>
      </c>
      <c r="G1" s="15" t="s">
        <v>51</v>
      </c>
      <c r="H1" s="15" t="s">
        <v>7</v>
      </c>
      <c r="I1" s="15" t="s">
        <v>52</v>
      </c>
      <c r="J1" s="15" t="s">
        <v>53</v>
      </c>
      <c r="K1" s="15" t="s">
        <v>5</v>
      </c>
      <c r="L1" s="15" t="s">
        <v>54</v>
      </c>
      <c r="M1" s="15" t="s">
        <v>55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">
      <c r="A2" s="10" t="s">
        <v>56</v>
      </c>
      <c r="B2" s="10" t="s">
        <v>21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9</v>
      </c>
      <c r="L2" s="10" t="s">
        <v>65</v>
      </c>
      <c r="M2" s="10" t="s">
        <v>66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">
      <c r="A3" s="10" t="s">
        <v>67</v>
      </c>
      <c r="B3" s="10" t="s">
        <v>21</v>
      </c>
      <c r="C3" s="10" t="s">
        <v>57</v>
      </c>
      <c r="D3" s="10" t="s">
        <v>68</v>
      </c>
      <c r="E3" s="10" t="s">
        <v>59</v>
      </c>
      <c r="F3" s="10" t="s">
        <v>60</v>
      </c>
      <c r="G3" s="10" t="s">
        <v>61</v>
      </c>
      <c r="H3" s="10" t="s">
        <v>69</v>
      </c>
      <c r="I3" s="10" t="s">
        <v>63</v>
      </c>
      <c r="J3" s="10" t="s">
        <v>70</v>
      </c>
      <c r="K3" s="10" t="s">
        <v>9</v>
      </c>
      <c r="L3" s="10" t="s">
        <v>65</v>
      </c>
      <c r="M3" s="10" t="s">
        <v>66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">
      <c r="A4" s="10" t="s">
        <v>71</v>
      </c>
      <c r="B4" s="10" t="s">
        <v>21</v>
      </c>
      <c r="C4" s="10" t="s">
        <v>57</v>
      </c>
      <c r="D4" s="10" t="s">
        <v>72</v>
      </c>
      <c r="E4" s="10" t="s">
        <v>59</v>
      </c>
      <c r="F4" s="10" t="s">
        <v>60</v>
      </c>
      <c r="G4" s="10" t="s">
        <v>61</v>
      </c>
      <c r="H4" s="10" t="s">
        <v>73</v>
      </c>
      <c r="I4" s="10" t="s">
        <v>63</v>
      </c>
      <c r="J4" s="10" t="s">
        <v>64</v>
      </c>
      <c r="K4" s="10" t="s">
        <v>9</v>
      </c>
      <c r="L4" s="10" t="s">
        <v>65</v>
      </c>
      <c r="M4" s="10" t="s">
        <v>66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">
      <c r="A5" s="10" t="s">
        <v>74</v>
      </c>
      <c r="B5" s="10" t="s">
        <v>21</v>
      </c>
      <c r="C5" s="10" t="s">
        <v>57</v>
      </c>
      <c r="D5" s="10" t="s">
        <v>75</v>
      </c>
      <c r="E5" s="10" t="s">
        <v>59</v>
      </c>
      <c r="F5" s="10" t="s">
        <v>60</v>
      </c>
      <c r="G5" s="10" t="s">
        <v>61</v>
      </c>
      <c r="H5" s="10" t="s">
        <v>76</v>
      </c>
      <c r="I5" s="10" t="s">
        <v>63</v>
      </c>
      <c r="J5" s="10" t="s">
        <v>64</v>
      </c>
      <c r="K5" s="10" t="s">
        <v>9</v>
      </c>
      <c r="L5" s="10" t="s">
        <v>65</v>
      </c>
      <c r="M5" s="10" t="s">
        <v>66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">
      <c r="A6" s="10" t="s">
        <v>77</v>
      </c>
      <c r="B6" s="10" t="s">
        <v>21</v>
      </c>
      <c r="C6" s="10" t="s">
        <v>57</v>
      </c>
      <c r="D6" s="10" t="s">
        <v>78</v>
      </c>
      <c r="E6" s="10" t="s">
        <v>59</v>
      </c>
      <c r="F6" s="10" t="s">
        <v>60</v>
      </c>
      <c r="G6" s="10" t="s">
        <v>61</v>
      </c>
      <c r="H6" s="10" t="s">
        <v>79</v>
      </c>
      <c r="I6" s="10" t="s">
        <v>63</v>
      </c>
      <c r="J6" s="10" t="s">
        <v>64</v>
      </c>
      <c r="K6" s="10" t="s">
        <v>9</v>
      </c>
      <c r="L6" s="10" t="s">
        <v>65</v>
      </c>
      <c r="M6" s="10" t="s">
        <v>66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">
      <c r="A7" s="10" t="s">
        <v>80</v>
      </c>
      <c r="B7" s="10" t="s">
        <v>21</v>
      </c>
      <c r="C7" s="10" t="s">
        <v>57</v>
      </c>
      <c r="D7" s="10" t="s">
        <v>81</v>
      </c>
      <c r="E7" s="10" t="s">
        <v>59</v>
      </c>
      <c r="F7" s="10" t="s">
        <v>60</v>
      </c>
      <c r="G7" s="10" t="s">
        <v>61</v>
      </c>
      <c r="H7" s="10" t="s">
        <v>82</v>
      </c>
      <c r="I7" s="10" t="s">
        <v>83</v>
      </c>
      <c r="J7" s="10" t="s">
        <v>64</v>
      </c>
      <c r="K7" s="10" t="s">
        <v>12</v>
      </c>
      <c r="L7" s="10" t="s">
        <v>65</v>
      </c>
      <c r="M7" s="10" t="s">
        <v>66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">
      <c r="A8" s="10" t="s">
        <v>84</v>
      </c>
      <c r="B8" s="10" t="s">
        <v>21</v>
      </c>
      <c r="C8" s="10" t="s">
        <v>57</v>
      </c>
      <c r="D8" s="10" t="s">
        <v>85</v>
      </c>
      <c r="E8" s="10" t="s">
        <v>59</v>
      </c>
      <c r="F8" s="10" t="s">
        <v>60</v>
      </c>
      <c r="G8" s="10" t="s">
        <v>61</v>
      </c>
      <c r="H8" s="10" t="s">
        <v>86</v>
      </c>
      <c r="I8" s="10" t="s">
        <v>63</v>
      </c>
      <c r="J8" s="10" t="s">
        <v>64</v>
      </c>
      <c r="K8" s="10" t="s">
        <v>12</v>
      </c>
      <c r="L8" s="10" t="s">
        <v>65</v>
      </c>
      <c r="M8" s="10" t="s">
        <v>66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">
      <c r="A9" s="10" t="s">
        <v>87</v>
      </c>
      <c r="B9" s="10" t="s">
        <v>21</v>
      </c>
      <c r="C9" s="10" t="s">
        <v>57</v>
      </c>
      <c r="D9" s="10" t="s">
        <v>88</v>
      </c>
      <c r="E9" s="10" t="s">
        <v>59</v>
      </c>
      <c r="F9" s="10" t="s">
        <v>60</v>
      </c>
      <c r="G9" s="10" t="s">
        <v>61</v>
      </c>
      <c r="H9" s="10" t="s">
        <v>89</v>
      </c>
      <c r="I9" s="10" t="s">
        <v>63</v>
      </c>
      <c r="J9" s="10" t="s">
        <v>64</v>
      </c>
      <c r="K9" s="10" t="s">
        <v>12</v>
      </c>
      <c r="L9" s="10" t="s">
        <v>65</v>
      </c>
      <c r="M9" s="10" t="s">
        <v>66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">
      <c r="A10" s="10" t="s">
        <v>90</v>
      </c>
      <c r="B10" s="10" t="s">
        <v>22</v>
      </c>
      <c r="C10" s="10" t="s">
        <v>91</v>
      </c>
      <c r="D10" s="10" t="s">
        <v>92</v>
      </c>
      <c r="E10" s="10" t="s">
        <v>91</v>
      </c>
      <c r="F10" s="10" t="s">
        <v>93</v>
      </c>
      <c r="G10" s="10" t="s">
        <v>94</v>
      </c>
      <c r="H10" s="10" t="s">
        <v>95</v>
      </c>
      <c r="I10" s="10" t="s">
        <v>96</v>
      </c>
      <c r="J10" s="10" t="s">
        <v>97</v>
      </c>
      <c r="K10" s="10" t="s">
        <v>9</v>
      </c>
      <c r="L10" s="10" t="s">
        <v>98</v>
      </c>
      <c r="M10" s="10" t="s">
        <v>66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">
      <c r="A11" s="10" t="s">
        <v>99</v>
      </c>
      <c r="B11" s="10" t="s">
        <v>22</v>
      </c>
      <c r="C11" s="10" t="s">
        <v>91</v>
      </c>
      <c r="D11" s="10" t="s">
        <v>100</v>
      </c>
      <c r="E11" s="10" t="s">
        <v>91</v>
      </c>
      <c r="F11" s="10" t="s">
        <v>93</v>
      </c>
      <c r="G11" s="10" t="s">
        <v>101</v>
      </c>
      <c r="H11" s="10" t="s">
        <v>102</v>
      </c>
      <c r="I11" s="10" t="s">
        <v>103</v>
      </c>
      <c r="J11" s="10" t="s">
        <v>64</v>
      </c>
      <c r="K11" s="10" t="s">
        <v>9</v>
      </c>
      <c r="L11" s="10" t="s">
        <v>104</v>
      </c>
      <c r="M11" s="10" t="s">
        <v>66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>
      <c r="A12" s="10" t="s">
        <v>105</v>
      </c>
      <c r="B12" s="10" t="s">
        <v>22</v>
      </c>
      <c r="C12" s="10" t="s">
        <v>91</v>
      </c>
      <c r="D12" s="10" t="s">
        <v>106</v>
      </c>
      <c r="E12" s="10" t="s">
        <v>91</v>
      </c>
      <c r="F12" s="10" t="s">
        <v>93</v>
      </c>
      <c r="G12" s="10" t="s">
        <v>107</v>
      </c>
      <c r="H12" s="10" t="s">
        <v>108</v>
      </c>
      <c r="I12" s="10" t="s">
        <v>109</v>
      </c>
      <c r="J12" s="10" t="s">
        <v>64</v>
      </c>
      <c r="K12" s="10" t="s">
        <v>9</v>
      </c>
      <c r="L12" s="10" t="s">
        <v>110</v>
      </c>
      <c r="M12" s="10" t="s">
        <v>66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>
      <c r="A13" s="10" t="s">
        <v>111</v>
      </c>
      <c r="B13" s="10" t="s">
        <v>22</v>
      </c>
      <c r="C13" s="10" t="s">
        <v>91</v>
      </c>
      <c r="D13" s="10" t="s">
        <v>112</v>
      </c>
      <c r="E13" s="10" t="s">
        <v>91</v>
      </c>
      <c r="F13" s="10" t="s">
        <v>93</v>
      </c>
      <c r="G13" s="10" t="s">
        <v>113</v>
      </c>
      <c r="H13" s="10" t="s">
        <v>114</v>
      </c>
      <c r="I13" s="10" t="s">
        <v>115</v>
      </c>
      <c r="J13" s="10" t="s">
        <v>64</v>
      </c>
      <c r="K13" s="10" t="s">
        <v>12</v>
      </c>
      <c r="L13" s="10" t="s">
        <v>116</v>
      </c>
      <c r="M13" s="10" t="s">
        <v>66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">
      <c r="A14" s="10" t="s">
        <v>117</v>
      </c>
      <c r="B14" s="10" t="s">
        <v>22</v>
      </c>
      <c r="C14" s="10" t="s">
        <v>91</v>
      </c>
      <c r="D14" s="10" t="s">
        <v>118</v>
      </c>
      <c r="E14" s="10" t="s">
        <v>91</v>
      </c>
      <c r="F14" s="10" t="s">
        <v>93</v>
      </c>
      <c r="G14" s="10" t="s">
        <v>61</v>
      </c>
      <c r="H14" s="10" t="s">
        <v>119</v>
      </c>
      <c r="I14" s="10" t="s">
        <v>63</v>
      </c>
      <c r="J14" s="10" t="s">
        <v>64</v>
      </c>
      <c r="K14" s="10" t="s">
        <v>12</v>
      </c>
      <c r="L14" s="10" t="s">
        <v>65</v>
      </c>
      <c r="M14" s="10" t="s">
        <v>66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">
      <c r="A15" s="10" t="s">
        <v>120</v>
      </c>
      <c r="B15" s="10" t="s">
        <v>22</v>
      </c>
      <c r="C15" s="10" t="s">
        <v>91</v>
      </c>
      <c r="D15" s="10" t="s">
        <v>121</v>
      </c>
      <c r="E15" s="10" t="s">
        <v>91</v>
      </c>
      <c r="F15" s="10" t="s">
        <v>93</v>
      </c>
      <c r="G15" s="10" t="s">
        <v>61</v>
      </c>
      <c r="H15" s="10" t="s">
        <v>122</v>
      </c>
      <c r="I15" s="10" t="s">
        <v>63</v>
      </c>
      <c r="J15" s="10" t="s">
        <v>64</v>
      </c>
      <c r="K15" s="10" t="s">
        <v>12</v>
      </c>
      <c r="L15" s="10" t="s">
        <v>65</v>
      </c>
      <c r="M15" s="10" t="s">
        <v>66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>
      <c r="A16" s="10" t="s">
        <v>123</v>
      </c>
      <c r="B16" s="10" t="s">
        <v>22</v>
      </c>
      <c r="C16" s="10" t="s">
        <v>91</v>
      </c>
      <c r="D16" s="10" t="s">
        <v>124</v>
      </c>
      <c r="E16" s="10" t="s">
        <v>91</v>
      </c>
      <c r="F16" s="10" t="s">
        <v>93</v>
      </c>
      <c r="G16" s="10" t="s">
        <v>125</v>
      </c>
      <c r="H16" s="10" t="s">
        <v>126</v>
      </c>
      <c r="I16" s="10" t="s">
        <v>96</v>
      </c>
      <c r="J16" s="10" t="s">
        <v>64</v>
      </c>
      <c r="K16" s="10" t="s">
        <v>12</v>
      </c>
      <c r="L16" s="10" t="s">
        <v>127</v>
      </c>
      <c r="M16" s="10" t="s">
        <v>66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">
      <c r="A17" s="10" t="s">
        <v>128</v>
      </c>
      <c r="B17" s="10" t="s">
        <v>22</v>
      </c>
      <c r="C17" s="10" t="s">
        <v>91</v>
      </c>
      <c r="D17" s="10" t="s">
        <v>129</v>
      </c>
      <c r="E17" s="10" t="s">
        <v>91</v>
      </c>
      <c r="F17" s="10" t="s">
        <v>93</v>
      </c>
      <c r="G17" s="10" t="s">
        <v>61</v>
      </c>
      <c r="H17" s="10" t="s">
        <v>130</v>
      </c>
      <c r="I17" s="10" t="s">
        <v>63</v>
      </c>
      <c r="J17" s="10" t="s">
        <v>64</v>
      </c>
      <c r="K17" s="10" t="s">
        <v>15</v>
      </c>
      <c r="L17" s="10" t="s">
        <v>65</v>
      </c>
      <c r="M17" s="10" t="s">
        <v>66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">
      <c r="A18" s="10" t="s">
        <v>131</v>
      </c>
      <c r="B18" s="10" t="s">
        <v>22</v>
      </c>
      <c r="C18" s="10" t="s">
        <v>91</v>
      </c>
      <c r="D18" s="10" t="s">
        <v>132</v>
      </c>
      <c r="E18" s="10" t="s">
        <v>91</v>
      </c>
      <c r="F18" s="10" t="s">
        <v>93</v>
      </c>
      <c r="G18" s="10" t="s">
        <v>61</v>
      </c>
      <c r="H18" s="10" t="s">
        <v>133</v>
      </c>
      <c r="I18" s="10" t="s">
        <v>63</v>
      </c>
      <c r="J18" s="10" t="s">
        <v>64</v>
      </c>
      <c r="K18" s="10" t="s">
        <v>15</v>
      </c>
      <c r="L18" s="10" t="s">
        <v>65</v>
      </c>
      <c r="M18" s="10" t="s">
        <v>66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">
      <c r="A19" s="10" t="s">
        <v>134</v>
      </c>
      <c r="B19" s="10" t="s">
        <v>22</v>
      </c>
      <c r="C19" s="10" t="s">
        <v>91</v>
      </c>
      <c r="D19" s="10" t="s">
        <v>135</v>
      </c>
      <c r="E19" s="10" t="s">
        <v>91</v>
      </c>
      <c r="F19" s="10" t="s">
        <v>93</v>
      </c>
      <c r="G19" s="10" t="s">
        <v>61</v>
      </c>
      <c r="H19" s="10" t="s">
        <v>136</v>
      </c>
      <c r="I19" s="10" t="s">
        <v>63</v>
      </c>
      <c r="J19" s="10" t="s">
        <v>137</v>
      </c>
      <c r="K19" s="10" t="s">
        <v>15</v>
      </c>
      <c r="L19" s="10" t="s">
        <v>65</v>
      </c>
      <c r="M19" s="10" t="s">
        <v>66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">
      <c r="A20" s="10" t="s">
        <v>138</v>
      </c>
      <c r="B20" s="10" t="s">
        <v>22</v>
      </c>
      <c r="C20" s="10" t="s">
        <v>91</v>
      </c>
      <c r="D20" s="10" t="s">
        <v>139</v>
      </c>
      <c r="E20" s="10" t="s">
        <v>91</v>
      </c>
      <c r="F20" s="10" t="s">
        <v>93</v>
      </c>
      <c r="G20" s="10" t="s">
        <v>101</v>
      </c>
      <c r="H20" s="10" t="s">
        <v>140</v>
      </c>
      <c r="I20" s="10" t="s">
        <v>103</v>
      </c>
      <c r="J20" s="10" t="s">
        <v>64</v>
      </c>
      <c r="K20" s="10" t="s">
        <v>15</v>
      </c>
      <c r="L20" s="10" t="s">
        <v>104</v>
      </c>
      <c r="M20" s="10" t="s">
        <v>66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>
      <c r="A21" s="10" t="s">
        <v>141</v>
      </c>
      <c r="B21" s="10" t="s">
        <v>22</v>
      </c>
      <c r="C21" s="10" t="s">
        <v>91</v>
      </c>
      <c r="D21" s="10" t="s">
        <v>142</v>
      </c>
      <c r="E21" s="10" t="s">
        <v>91</v>
      </c>
      <c r="F21" s="10" t="s">
        <v>93</v>
      </c>
      <c r="G21" s="10" t="s">
        <v>143</v>
      </c>
      <c r="H21" s="10" t="s">
        <v>144</v>
      </c>
      <c r="I21" s="10" t="s">
        <v>63</v>
      </c>
      <c r="J21" s="10" t="s">
        <v>64</v>
      </c>
      <c r="K21" s="10" t="s">
        <v>15</v>
      </c>
      <c r="L21" s="10" t="s">
        <v>145</v>
      </c>
      <c r="M21" s="10" t="s">
        <v>66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>
      <c r="A22" s="10" t="s">
        <v>146</v>
      </c>
      <c r="B22" s="10" t="s">
        <v>23</v>
      </c>
      <c r="C22" s="10" t="s">
        <v>147</v>
      </c>
      <c r="D22" s="10" t="s">
        <v>148</v>
      </c>
      <c r="E22" s="10" t="s">
        <v>149</v>
      </c>
      <c r="F22" s="10" t="s">
        <v>150</v>
      </c>
      <c r="G22" s="10" t="s">
        <v>113</v>
      </c>
      <c r="H22" s="10" t="s">
        <v>151</v>
      </c>
      <c r="I22" s="10" t="s">
        <v>115</v>
      </c>
      <c r="J22" s="10" t="s">
        <v>64</v>
      </c>
      <c r="K22" s="10" t="s">
        <v>9</v>
      </c>
      <c r="L22" s="10" t="s">
        <v>116</v>
      </c>
      <c r="M22" s="10" t="s">
        <v>66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>
      <c r="A23" s="10" t="s">
        <v>152</v>
      </c>
      <c r="B23" s="10" t="s">
        <v>23</v>
      </c>
      <c r="C23" s="10" t="s">
        <v>147</v>
      </c>
      <c r="D23" s="10" t="s">
        <v>153</v>
      </c>
      <c r="E23" s="10" t="s">
        <v>149</v>
      </c>
      <c r="F23" s="10" t="s">
        <v>150</v>
      </c>
      <c r="G23" s="10" t="s">
        <v>101</v>
      </c>
      <c r="H23" s="10" t="s">
        <v>154</v>
      </c>
      <c r="I23" s="10" t="s">
        <v>103</v>
      </c>
      <c r="J23" s="10" t="s">
        <v>64</v>
      </c>
      <c r="K23" s="10" t="s">
        <v>9</v>
      </c>
      <c r="L23" s="10" t="s">
        <v>104</v>
      </c>
      <c r="M23" s="10" t="s">
        <v>66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>
      <c r="A24" s="10" t="s">
        <v>155</v>
      </c>
      <c r="B24" s="10" t="s">
        <v>23</v>
      </c>
      <c r="C24" s="10" t="s">
        <v>147</v>
      </c>
      <c r="D24" s="10" t="s">
        <v>156</v>
      </c>
      <c r="E24" s="10" t="s">
        <v>149</v>
      </c>
      <c r="F24" s="10" t="s">
        <v>150</v>
      </c>
      <c r="G24" s="10" t="s">
        <v>107</v>
      </c>
      <c r="H24" s="10" t="s">
        <v>157</v>
      </c>
      <c r="I24" s="10" t="s">
        <v>109</v>
      </c>
      <c r="J24" s="10" t="s">
        <v>64</v>
      </c>
      <c r="K24" s="10" t="s">
        <v>9</v>
      </c>
      <c r="L24" s="10" t="s">
        <v>110</v>
      </c>
      <c r="M24" s="10" t="s">
        <v>66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">
      <c r="A25" s="10" t="s">
        <v>158</v>
      </c>
      <c r="B25" s="10" t="s">
        <v>23</v>
      </c>
      <c r="C25" s="10" t="s">
        <v>147</v>
      </c>
      <c r="D25" s="10" t="s">
        <v>159</v>
      </c>
      <c r="E25" s="10" t="s">
        <v>149</v>
      </c>
      <c r="F25" s="10" t="s">
        <v>150</v>
      </c>
      <c r="G25" s="10" t="s">
        <v>113</v>
      </c>
      <c r="H25" s="10" t="s">
        <v>160</v>
      </c>
      <c r="I25" s="10" t="s">
        <v>115</v>
      </c>
      <c r="J25" s="10" t="s">
        <v>64</v>
      </c>
      <c r="K25" s="10" t="s">
        <v>9</v>
      </c>
      <c r="L25" s="10" t="s">
        <v>116</v>
      </c>
      <c r="M25" s="10" t="s">
        <v>66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">
      <c r="A26" s="10" t="s">
        <v>161</v>
      </c>
      <c r="B26" s="10" t="s">
        <v>23</v>
      </c>
      <c r="C26" s="10" t="s">
        <v>147</v>
      </c>
      <c r="D26" s="10" t="s">
        <v>162</v>
      </c>
      <c r="E26" s="10" t="s">
        <v>149</v>
      </c>
      <c r="F26" s="10" t="s">
        <v>150</v>
      </c>
      <c r="G26" s="10" t="s">
        <v>101</v>
      </c>
      <c r="H26" s="10" t="s">
        <v>163</v>
      </c>
      <c r="I26" s="10" t="s">
        <v>103</v>
      </c>
      <c r="J26" s="10" t="s">
        <v>64</v>
      </c>
      <c r="K26" s="10" t="s">
        <v>9</v>
      </c>
      <c r="L26" s="10" t="s">
        <v>104</v>
      </c>
      <c r="M26" s="10" t="s">
        <v>66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">
      <c r="A27" s="10" t="s">
        <v>164</v>
      </c>
      <c r="B27" s="10" t="s">
        <v>23</v>
      </c>
      <c r="C27" s="10" t="s">
        <v>147</v>
      </c>
      <c r="D27" s="10" t="s">
        <v>165</v>
      </c>
      <c r="E27" s="10" t="s">
        <v>149</v>
      </c>
      <c r="F27" s="10" t="s">
        <v>150</v>
      </c>
      <c r="G27" s="10" t="s">
        <v>107</v>
      </c>
      <c r="H27" s="10" t="s">
        <v>166</v>
      </c>
      <c r="I27" s="10" t="s">
        <v>109</v>
      </c>
      <c r="J27" s="10" t="s">
        <v>64</v>
      </c>
      <c r="K27" s="10" t="s">
        <v>9</v>
      </c>
      <c r="L27" s="10" t="s">
        <v>110</v>
      </c>
      <c r="M27" s="10" t="s">
        <v>66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>
      <c r="A28" s="10" t="s">
        <v>167</v>
      </c>
      <c r="B28" s="10" t="s">
        <v>23</v>
      </c>
      <c r="C28" s="10" t="s">
        <v>147</v>
      </c>
      <c r="D28" s="10" t="s">
        <v>168</v>
      </c>
      <c r="E28" s="10" t="s">
        <v>149</v>
      </c>
      <c r="F28" s="10" t="s">
        <v>150</v>
      </c>
      <c r="G28" s="10" t="s">
        <v>113</v>
      </c>
      <c r="H28" s="10" t="s">
        <v>169</v>
      </c>
      <c r="I28" s="10" t="s">
        <v>115</v>
      </c>
      <c r="J28" s="10" t="s">
        <v>64</v>
      </c>
      <c r="K28" s="10" t="s">
        <v>9</v>
      </c>
      <c r="L28" s="10" t="s">
        <v>116</v>
      </c>
      <c r="M28" s="10" t="s">
        <v>66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>
      <c r="A29" s="10" t="s">
        <v>170</v>
      </c>
      <c r="B29" s="10" t="s">
        <v>23</v>
      </c>
      <c r="C29" s="10" t="s">
        <v>147</v>
      </c>
      <c r="D29" s="10" t="s">
        <v>171</v>
      </c>
      <c r="E29" s="10" t="s">
        <v>149</v>
      </c>
      <c r="F29" s="10" t="s">
        <v>150</v>
      </c>
      <c r="G29" s="10" t="s">
        <v>107</v>
      </c>
      <c r="H29" s="10" t="s">
        <v>172</v>
      </c>
      <c r="I29" s="10" t="s">
        <v>109</v>
      </c>
      <c r="J29" s="10" t="s">
        <v>64</v>
      </c>
      <c r="K29" s="10" t="s">
        <v>9</v>
      </c>
      <c r="L29" s="10" t="s">
        <v>110</v>
      </c>
      <c r="M29" s="10" t="s">
        <v>66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>
      <c r="A30" s="10" t="s">
        <v>173</v>
      </c>
      <c r="B30" s="10" t="s">
        <v>23</v>
      </c>
      <c r="C30" s="10" t="s">
        <v>147</v>
      </c>
      <c r="D30" s="10" t="s">
        <v>174</v>
      </c>
      <c r="E30" s="10" t="s">
        <v>149</v>
      </c>
      <c r="F30" s="10" t="s">
        <v>150</v>
      </c>
      <c r="G30" s="10" t="s">
        <v>107</v>
      </c>
      <c r="H30" s="10" t="s">
        <v>175</v>
      </c>
      <c r="I30" s="10" t="s">
        <v>109</v>
      </c>
      <c r="J30" s="10" t="s">
        <v>176</v>
      </c>
      <c r="K30" s="10" t="s">
        <v>12</v>
      </c>
      <c r="L30" s="10" t="s">
        <v>110</v>
      </c>
      <c r="M30" s="10" t="s">
        <v>66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">
      <c r="A31" s="10" t="s">
        <v>177</v>
      </c>
      <c r="B31" s="10" t="s">
        <v>23</v>
      </c>
      <c r="C31" s="10" t="s">
        <v>147</v>
      </c>
      <c r="D31" s="10" t="s">
        <v>178</v>
      </c>
      <c r="E31" s="10" t="s">
        <v>149</v>
      </c>
      <c r="F31" s="10" t="s">
        <v>150</v>
      </c>
      <c r="G31" s="10" t="s">
        <v>107</v>
      </c>
      <c r="H31" s="10" t="s">
        <v>179</v>
      </c>
      <c r="I31" s="10" t="s">
        <v>109</v>
      </c>
      <c r="J31" s="10" t="s">
        <v>64</v>
      </c>
      <c r="K31" s="10" t="s">
        <v>12</v>
      </c>
      <c r="L31" s="10" t="s">
        <v>110</v>
      </c>
      <c r="M31" s="10" t="s">
        <v>66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">
      <c r="A32" s="10" t="s">
        <v>180</v>
      </c>
      <c r="B32" s="10" t="s">
        <v>23</v>
      </c>
      <c r="C32" s="10" t="s">
        <v>147</v>
      </c>
      <c r="D32" s="10" t="s">
        <v>181</v>
      </c>
      <c r="E32" s="10" t="s">
        <v>149</v>
      </c>
      <c r="F32" s="10" t="s">
        <v>150</v>
      </c>
      <c r="G32" s="10" t="s">
        <v>107</v>
      </c>
      <c r="H32" s="10" t="s">
        <v>182</v>
      </c>
      <c r="I32" s="10" t="s">
        <v>109</v>
      </c>
      <c r="J32" s="10" t="s">
        <v>64</v>
      </c>
      <c r="K32" s="10" t="s">
        <v>12</v>
      </c>
      <c r="L32" s="10" t="s">
        <v>110</v>
      </c>
      <c r="M32" s="10" t="s">
        <v>66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>
      <c r="A33" s="10" t="s">
        <v>183</v>
      </c>
      <c r="B33" s="10" t="s">
        <v>23</v>
      </c>
      <c r="C33" s="10" t="s">
        <v>147</v>
      </c>
      <c r="D33" s="10" t="s">
        <v>184</v>
      </c>
      <c r="E33" s="10" t="s">
        <v>149</v>
      </c>
      <c r="F33" s="10" t="s">
        <v>150</v>
      </c>
      <c r="G33" s="10" t="s">
        <v>113</v>
      </c>
      <c r="H33" s="10" t="s">
        <v>185</v>
      </c>
      <c r="I33" s="10" t="s">
        <v>115</v>
      </c>
      <c r="J33" s="10" t="s">
        <v>64</v>
      </c>
      <c r="K33" s="10" t="s">
        <v>15</v>
      </c>
      <c r="L33" s="10" t="s">
        <v>116</v>
      </c>
      <c r="M33" s="10" t="s">
        <v>66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">
      <c r="A34" s="10" t="s">
        <v>186</v>
      </c>
      <c r="B34" s="10" t="s">
        <v>24</v>
      </c>
      <c r="C34" s="10" t="s">
        <v>24</v>
      </c>
      <c r="D34" s="10" t="s">
        <v>187</v>
      </c>
      <c r="E34" s="10" t="s">
        <v>188</v>
      </c>
      <c r="F34" s="10" t="s">
        <v>189</v>
      </c>
      <c r="G34" s="10" t="s">
        <v>94</v>
      </c>
      <c r="H34" s="10" t="s">
        <v>190</v>
      </c>
      <c r="I34" s="10" t="s">
        <v>96</v>
      </c>
      <c r="J34" s="10" t="s">
        <v>97</v>
      </c>
      <c r="K34" s="10" t="s">
        <v>9</v>
      </c>
      <c r="L34" s="10" t="s">
        <v>98</v>
      </c>
      <c r="M34" s="10" t="s">
        <v>66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">
      <c r="A35" s="10" t="s">
        <v>191</v>
      </c>
      <c r="B35" s="10" t="s">
        <v>24</v>
      </c>
      <c r="C35" s="10" t="s">
        <v>24</v>
      </c>
      <c r="D35" s="10" t="s">
        <v>192</v>
      </c>
      <c r="E35" s="10" t="s">
        <v>193</v>
      </c>
      <c r="F35" s="10" t="s">
        <v>194</v>
      </c>
      <c r="G35" s="10" t="s">
        <v>94</v>
      </c>
      <c r="H35" s="10" t="s">
        <v>190</v>
      </c>
      <c r="I35" s="10" t="s">
        <v>96</v>
      </c>
      <c r="J35" s="10" t="s">
        <v>97</v>
      </c>
      <c r="K35" s="10" t="s">
        <v>9</v>
      </c>
      <c r="L35" s="10" t="s">
        <v>98</v>
      </c>
      <c r="M35" s="10" t="s">
        <v>66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">
      <c r="A36" s="10" t="s">
        <v>195</v>
      </c>
      <c r="B36" s="10" t="s">
        <v>24</v>
      </c>
      <c r="C36" s="10" t="s">
        <v>24</v>
      </c>
      <c r="D36" s="10" t="s">
        <v>196</v>
      </c>
      <c r="E36" s="10" t="s">
        <v>197</v>
      </c>
      <c r="F36" s="10" t="s">
        <v>198</v>
      </c>
      <c r="G36" s="10" t="s">
        <v>94</v>
      </c>
      <c r="H36" s="10" t="s">
        <v>190</v>
      </c>
      <c r="I36" s="10" t="s">
        <v>96</v>
      </c>
      <c r="J36" s="10" t="s">
        <v>97</v>
      </c>
      <c r="K36" s="10" t="s">
        <v>9</v>
      </c>
      <c r="L36" s="10" t="s">
        <v>98</v>
      </c>
      <c r="M36" s="10" t="s">
        <v>66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">
      <c r="A37" s="10" t="s">
        <v>199</v>
      </c>
      <c r="B37" s="10" t="s">
        <v>24</v>
      </c>
      <c r="C37" s="10" t="s">
        <v>24</v>
      </c>
      <c r="D37" s="10" t="s">
        <v>200</v>
      </c>
      <c r="E37" s="10" t="s">
        <v>201</v>
      </c>
      <c r="F37" s="10" t="s">
        <v>202</v>
      </c>
      <c r="G37" s="10" t="s">
        <v>94</v>
      </c>
      <c r="H37" s="10" t="s">
        <v>190</v>
      </c>
      <c r="I37" s="10" t="s">
        <v>96</v>
      </c>
      <c r="J37" s="10" t="s">
        <v>97</v>
      </c>
      <c r="K37" s="10" t="s">
        <v>9</v>
      </c>
      <c r="L37" s="10" t="s">
        <v>98</v>
      </c>
      <c r="M37" s="10" t="s">
        <v>66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>
      <c r="A38" s="10" t="s">
        <v>203</v>
      </c>
      <c r="B38" s="10" t="s">
        <v>24</v>
      </c>
      <c r="C38" s="10" t="s">
        <v>24</v>
      </c>
      <c r="D38" s="10" t="s">
        <v>204</v>
      </c>
      <c r="E38" s="10" t="s">
        <v>205</v>
      </c>
      <c r="F38" s="10" t="s">
        <v>206</v>
      </c>
      <c r="G38" s="10" t="s">
        <v>94</v>
      </c>
      <c r="H38" s="10" t="s">
        <v>190</v>
      </c>
      <c r="I38" s="10" t="s">
        <v>96</v>
      </c>
      <c r="J38" s="10" t="s">
        <v>97</v>
      </c>
      <c r="K38" s="10" t="s">
        <v>9</v>
      </c>
      <c r="L38" s="10" t="s">
        <v>98</v>
      </c>
      <c r="M38" s="10" t="s">
        <v>66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>
      <c r="A39" s="10" t="s">
        <v>207</v>
      </c>
      <c r="B39" s="10" t="s">
        <v>24</v>
      </c>
      <c r="C39" s="10" t="s">
        <v>24</v>
      </c>
      <c r="D39" s="10" t="s">
        <v>208</v>
      </c>
      <c r="E39" s="10" t="s">
        <v>209</v>
      </c>
      <c r="F39" s="10" t="s">
        <v>210</v>
      </c>
      <c r="G39" s="10" t="s">
        <v>94</v>
      </c>
      <c r="H39" s="10" t="s">
        <v>190</v>
      </c>
      <c r="I39" s="10" t="s">
        <v>96</v>
      </c>
      <c r="J39" s="10" t="s">
        <v>97</v>
      </c>
      <c r="K39" s="10" t="s">
        <v>12</v>
      </c>
      <c r="L39" s="10" t="s">
        <v>98</v>
      </c>
      <c r="M39" s="10" t="s">
        <v>66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>
      <c r="A40" s="10" t="s">
        <v>211</v>
      </c>
      <c r="B40" s="10" t="s">
        <v>24</v>
      </c>
      <c r="C40" s="10" t="s">
        <v>24</v>
      </c>
      <c r="D40" s="10" t="s">
        <v>212</v>
      </c>
      <c r="E40" s="10" t="s">
        <v>213</v>
      </c>
      <c r="F40" s="10" t="s">
        <v>214</v>
      </c>
      <c r="G40" s="10" t="s">
        <v>94</v>
      </c>
      <c r="H40" s="10" t="s">
        <v>190</v>
      </c>
      <c r="I40" s="10" t="s">
        <v>96</v>
      </c>
      <c r="J40" s="10" t="s">
        <v>97</v>
      </c>
      <c r="K40" s="10" t="s">
        <v>12</v>
      </c>
      <c r="L40" s="10" t="s">
        <v>98</v>
      </c>
      <c r="M40" s="10" t="s">
        <v>66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>
      <c r="A41" s="10" t="s">
        <v>215</v>
      </c>
      <c r="B41" s="10" t="s">
        <v>24</v>
      </c>
      <c r="C41" s="10" t="s">
        <v>24</v>
      </c>
      <c r="D41" s="10" t="s">
        <v>216</v>
      </c>
      <c r="E41" s="10" t="s">
        <v>217</v>
      </c>
      <c r="F41" s="10" t="s">
        <v>218</v>
      </c>
      <c r="G41" s="10" t="s">
        <v>94</v>
      </c>
      <c r="H41" s="10" t="s">
        <v>190</v>
      </c>
      <c r="I41" s="10" t="s">
        <v>96</v>
      </c>
      <c r="J41" s="10" t="s">
        <v>97</v>
      </c>
      <c r="K41" s="10" t="s">
        <v>15</v>
      </c>
      <c r="L41" s="10" t="s">
        <v>98</v>
      </c>
      <c r="M41" s="10" t="s">
        <v>66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">
      <c r="A42" s="10" t="s">
        <v>219</v>
      </c>
      <c r="B42" s="10" t="s">
        <v>24</v>
      </c>
      <c r="C42" s="10" t="s">
        <v>24</v>
      </c>
      <c r="D42" s="10" t="s">
        <v>220</v>
      </c>
      <c r="E42" s="10" t="s">
        <v>221</v>
      </c>
      <c r="F42" s="10" t="s">
        <v>222</v>
      </c>
      <c r="G42" s="10" t="s">
        <v>94</v>
      </c>
      <c r="H42" s="10" t="s">
        <v>190</v>
      </c>
      <c r="I42" s="10" t="s">
        <v>96</v>
      </c>
      <c r="J42" s="10" t="s">
        <v>97</v>
      </c>
      <c r="K42" s="10" t="s">
        <v>15</v>
      </c>
      <c r="L42" s="10" t="s">
        <v>98</v>
      </c>
      <c r="M42" s="10" t="s">
        <v>66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">
      <c r="A43" s="10" t="s">
        <v>223</v>
      </c>
      <c r="B43" s="10" t="s">
        <v>24</v>
      </c>
      <c r="C43" s="10" t="s">
        <v>24</v>
      </c>
      <c r="D43" s="10" t="s">
        <v>224</v>
      </c>
      <c r="E43" s="10" t="s">
        <v>225</v>
      </c>
      <c r="F43" s="10" t="s">
        <v>226</v>
      </c>
      <c r="G43" s="10" t="s">
        <v>94</v>
      </c>
      <c r="H43" s="10" t="s">
        <v>190</v>
      </c>
      <c r="I43" s="10" t="s">
        <v>96</v>
      </c>
      <c r="J43" s="10" t="s">
        <v>97</v>
      </c>
      <c r="K43" s="10" t="s">
        <v>15</v>
      </c>
      <c r="L43" s="10" t="s">
        <v>98</v>
      </c>
      <c r="M43" s="10" t="s">
        <v>66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">
      <c r="A44" s="10" t="s">
        <v>227</v>
      </c>
      <c r="B44" s="10" t="s">
        <v>25</v>
      </c>
      <c r="C44" s="10" t="s">
        <v>228</v>
      </c>
      <c r="D44" s="10" t="s">
        <v>229</v>
      </c>
      <c r="E44" s="10" t="s">
        <v>230</v>
      </c>
      <c r="F44" s="10" t="s">
        <v>150</v>
      </c>
      <c r="G44" s="10" t="s">
        <v>94</v>
      </c>
      <c r="H44" s="10" t="s">
        <v>231</v>
      </c>
      <c r="I44" s="10" t="s">
        <v>96</v>
      </c>
      <c r="J44" s="10" t="s">
        <v>97</v>
      </c>
      <c r="K44" s="10" t="s">
        <v>9</v>
      </c>
      <c r="L44" s="10" t="s">
        <v>98</v>
      </c>
      <c r="M44" s="10" t="s">
        <v>66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>
      <c r="A45" s="10" t="s">
        <v>232</v>
      </c>
      <c r="B45" s="10" t="s">
        <v>25</v>
      </c>
      <c r="C45" s="10" t="s">
        <v>228</v>
      </c>
      <c r="D45" s="10" t="s">
        <v>233</v>
      </c>
      <c r="E45" s="10" t="s">
        <v>230</v>
      </c>
      <c r="F45" s="10" t="s">
        <v>150</v>
      </c>
      <c r="G45" s="10" t="s">
        <v>101</v>
      </c>
      <c r="H45" s="10" t="s">
        <v>234</v>
      </c>
      <c r="I45" s="10" t="s">
        <v>103</v>
      </c>
      <c r="J45" s="10" t="s">
        <v>235</v>
      </c>
      <c r="K45" s="10" t="s">
        <v>9</v>
      </c>
      <c r="L45" s="10" t="s">
        <v>104</v>
      </c>
      <c r="M45" s="10" t="s">
        <v>66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>
      <c r="A46" s="10" t="s">
        <v>236</v>
      </c>
      <c r="B46" s="10" t="s">
        <v>25</v>
      </c>
      <c r="C46" s="10" t="s">
        <v>228</v>
      </c>
      <c r="D46" s="10" t="s">
        <v>237</v>
      </c>
      <c r="E46" s="10" t="s">
        <v>230</v>
      </c>
      <c r="F46" s="10" t="s">
        <v>150</v>
      </c>
      <c r="G46" s="10" t="s">
        <v>107</v>
      </c>
      <c r="H46" s="10" t="s">
        <v>238</v>
      </c>
      <c r="I46" s="10" t="s">
        <v>109</v>
      </c>
      <c r="J46" s="10" t="s">
        <v>235</v>
      </c>
      <c r="K46" s="10" t="s">
        <v>9</v>
      </c>
      <c r="L46" s="10" t="s">
        <v>110</v>
      </c>
      <c r="M46" s="10" t="s">
        <v>66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>
      <c r="A47" s="10" t="s">
        <v>239</v>
      </c>
      <c r="B47" s="10" t="s">
        <v>25</v>
      </c>
      <c r="C47" s="10" t="s">
        <v>228</v>
      </c>
      <c r="D47" s="10" t="s">
        <v>240</v>
      </c>
      <c r="E47" s="10" t="s">
        <v>230</v>
      </c>
      <c r="F47" s="10" t="s">
        <v>150</v>
      </c>
      <c r="G47" s="10" t="s">
        <v>113</v>
      </c>
      <c r="H47" s="10" t="s">
        <v>241</v>
      </c>
      <c r="I47" s="10" t="s">
        <v>115</v>
      </c>
      <c r="J47" s="10" t="s">
        <v>235</v>
      </c>
      <c r="K47" s="10" t="s">
        <v>9</v>
      </c>
      <c r="L47" s="10" t="s">
        <v>116</v>
      </c>
      <c r="M47" s="10" t="s">
        <v>66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">
      <c r="A48" s="10" t="s">
        <v>242</v>
      </c>
      <c r="B48" s="10" t="s">
        <v>25</v>
      </c>
      <c r="C48" s="10" t="s">
        <v>228</v>
      </c>
      <c r="D48" s="10" t="s">
        <v>243</v>
      </c>
      <c r="E48" s="10" t="s">
        <v>230</v>
      </c>
      <c r="F48" s="10" t="s">
        <v>150</v>
      </c>
      <c r="G48" s="10" t="s">
        <v>244</v>
      </c>
      <c r="H48" s="10" t="s">
        <v>245</v>
      </c>
      <c r="I48" s="10" t="s">
        <v>246</v>
      </c>
      <c r="J48" s="10" t="s">
        <v>235</v>
      </c>
      <c r="K48" s="10" t="s">
        <v>9</v>
      </c>
      <c r="L48" s="10" t="s">
        <v>244</v>
      </c>
      <c r="M48" s="10" t="s">
        <v>66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">
      <c r="A49" s="10" t="s">
        <v>247</v>
      </c>
      <c r="B49" s="10" t="s">
        <v>25</v>
      </c>
      <c r="C49" s="10" t="s">
        <v>248</v>
      </c>
      <c r="D49" s="10" t="s">
        <v>249</v>
      </c>
      <c r="E49" s="10" t="s">
        <v>230</v>
      </c>
      <c r="F49" s="10" t="s">
        <v>150</v>
      </c>
      <c r="G49" s="10" t="s">
        <v>101</v>
      </c>
      <c r="H49" s="10" t="s">
        <v>250</v>
      </c>
      <c r="I49" s="10" t="s">
        <v>103</v>
      </c>
      <c r="J49" s="10" t="s">
        <v>235</v>
      </c>
      <c r="K49" s="10" t="s">
        <v>9</v>
      </c>
      <c r="L49" s="10" t="s">
        <v>104</v>
      </c>
      <c r="M49" s="10" t="s">
        <v>66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>
      <c r="A50" s="10" t="s">
        <v>251</v>
      </c>
      <c r="B50" s="10" t="s">
        <v>25</v>
      </c>
      <c r="C50" s="10" t="s">
        <v>248</v>
      </c>
      <c r="D50" s="10" t="s">
        <v>252</v>
      </c>
      <c r="E50" s="10" t="s">
        <v>230</v>
      </c>
      <c r="F50" s="10" t="s">
        <v>150</v>
      </c>
      <c r="G50" s="10" t="s">
        <v>107</v>
      </c>
      <c r="H50" s="10" t="s">
        <v>253</v>
      </c>
      <c r="I50" s="10" t="s">
        <v>109</v>
      </c>
      <c r="J50" s="10" t="s">
        <v>235</v>
      </c>
      <c r="K50" s="10" t="s">
        <v>9</v>
      </c>
      <c r="L50" s="10" t="s">
        <v>110</v>
      </c>
      <c r="M50" s="10" t="s">
        <v>66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">
      <c r="A51" s="10" t="s">
        <v>254</v>
      </c>
      <c r="B51" s="10" t="s">
        <v>25</v>
      </c>
      <c r="C51" s="10" t="s">
        <v>248</v>
      </c>
      <c r="D51" s="10" t="s">
        <v>255</v>
      </c>
      <c r="E51" s="10" t="s">
        <v>230</v>
      </c>
      <c r="F51" s="10" t="s">
        <v>150</v>
      </c>
      <c r="G51" s="10" t="s">
        <v>113</v>
      </c>
      <c r="H51" s="10" t="s">
        <v>256</v>
      </c>
      <c r="I51" s="10" t="s">
        <v>115</v>
      </c>
      <c r="J51" s="10" t="s">
        <v>235</v>
      </c>
      <c r="K51" s="10" t="s">
        <v>12</v>
      </c>
      <c r="L51" s="10" t="s">
        <v>116</v>
      </c>
      <c r="M51" s="10" t="s">
        <v>66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">
      <c r="A52" s="10" t="s">
        <v>257</v>
      </c>
      <c r="B52" s="10" t="s">
        <v>25</v>
      </c>
      <c r="C52" s="10" t="s">
        <v>248</v>
      </c>
      <c r="D52" s="10" t="s">
        <v>258</v>
      </c>
      <c r="E52" s="10" t="s">
        <v>230</v>
      </c>
      <c r="F52" s="10" t="s">
        <v>150</v>
      </c>
      <c r="G52" s="10" t="s">
        <v>61</v>
      </c>
      <c r="H52" s="10" t="s">
        <v>259</v>
      </c>
      <c r="I52" s="10" t="s">
        <v>83</v>
      </c>
      <c r="J52" s="10" t="s">
        <v>260</v>
      </c>
      <c r="K52" s="10" t="s">
        <v>12</v>
      </c>
      <c r="L52" s="10" t="s">
        <v>65</v>
      </c>
      <c r="M52" s="10" t="s">
        <v>66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">
      <c r="A53" s="10" t="s">
        <v>261</v>
      </c>
      <c r="B53" s="10" t="s">
        <v>25</v>
      </c>
      <c r="C53" s="10" t="s">
        <v>248</v>
      </c>
      <c r="D53" s="10" t="s">
        <v>262</v>
      </c>
      <c r="E53" s="10" t="s">
        <v>230</v>
      </c>
      <c r="F53" s="10" t="s">
        <v>150</v>
      </c>
      <c r="G53" s="10" t="s">
        <v>61</v>
      </c>
      <c r="H53" s="10" t="s">
        <v>263</v>
      </c>
      <c r="I53" s="10" t="s">
        <v>63</v>
      </c>
      <c r="J53" s="10" t="s">
        <v>235</v>
      </c>
      <c r="K53" s="10" t="s">
        <v>12</v>
      </c>
      <c r="L53" s="10" t="s">
        <v>65</v>
      </c>
      <c r="M53" s="10" t="s">
        <v>66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">
      <c r="A54" s="10" t="s">
        <v>264</v>
      </c>
      <c r="B54" s="10" t="s">
        <v>25</v>
      </c>
      <c r="C54" s="10" t="s">
        <v>248</v>
      </c>
      <c r="D54" s="10" t="s">
        <v>265</v>
      </c>
      <c r="E54" s="10" t="s">
        <v>230</v>
      </c>
      <c r="F54" s="10" t="s">
        <v>150</v>
      </c>
      <c r="G54" s="10" t="s">
        <v>61</v>
      </c>
      <c r="H54" s="10" t="s">
        <v>266</v>
      </c>
      <c r="I54" s="10" t="s">
        <v>83</v>
      </c>
      <c r="J54" s="10" t="s">
        <v>235</v>
      </c>
      <c r="K54" s="10" t="s">
        <v>15</v>
      </c>
      <c r="L54" s="10" t="s">
        <v>65</v>
      </c>
      <c r="M54" s="10" t="s">
        <v>66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>
      <c r="A55" s="10" t="s">
        <v>267</v>
      </c>
      <c r="B55" s="10" t="s">
        <v>25</v>
      </c>
      <c r="C55" s="10" t="s">
        <v>248</v>
      </c>
      <c r="D55" s="10" t="s">
        <v>268</v>
      </c>
      <c r="E55" s="10" t="s">
        <v>230</v>
      </c>
      <c r="F55" s="10" t="s">
        <v>150</v>
      </c>
      <c r="G55" s="10" t="s">
        <v>61</v>
      </c>
      <c r="H55" s="10" t="s">
        <v>269</v>
      </c>
      <c r="I55" s="10" t="s">
        <v>63</v>
      </c>
      <c r="J55" s="10" t="s">
        <v>270</v>
      </c>
      <c r="K55" s="10" t="s">
        <v>15</v>
      </c>
      <c r="L55" s="10" t="s">
        <v>65</v>
      </c>
      <c r="M55" s="10" t="s">
        <v>66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>
      <c r="A56" s="10" t="s">
        <v>271</v>
      </c>
      <c r="B56" s="10" t="s">
        <v>26</v>
      </c>
      <c r="C56" s="10" t="s">
        <v>272</v>
      </c>
      <c r="D56" s="10" t="s">
        <v>273</v>
      </c>
      <c r="E56" s="10" t="s">
        <v>274</v>
      </c>
      <c r="F56" s="10" t="s">
        <v>150</v>
      </c>
      <c r="G56" s="10" t="s">
        <v>101</v>
      </c>
      <c r="H56" s="10" t="s">
        <v>275</v>
      </c>
      <c r="I56" s="10" t="s">
        <v>103</v>
      </c>
      <c r="J56" s="10" t="s">
        <v>270</v>
      </c>
      <c r="K56" s="10" t="s">
        <v>9</v>
      </c>
      <c r="L56" s="10" t="s">
        <v>104</v>
      </c>
      <c r="M56" s="10" t="s">
        <v>66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>
      <c r="A57" s="10" t="s">
        <v>276</v>
      </c>
      <c r="B57" s="10" t="s">
        <v>26</v>
      </c>
      <c r="C57" s="10" t="s">
        <v>272</v>
      </c>
      <c r="D57" s="10" t="s">
        <v>277</v>
      </c>
      <c r="E57" s="10" t="s">
        <v>274</v>
      </c>
      <c r="F57" s="10" t="s">
        <v>150</v>
      </c>
      <c r="G57" s="10" t="s">
        <v>107</v>
      </c>
      <c r="H57" s="10" t="s">
        <v>278</v>
      </c>
      <c r="I57" s="10" t="s">
        <v>109</v>
      </c>
      <c r="J57" s="10" t="s">
        <v>270</v>
      </c>
      <c r="K57" s="10" t="s">
        <v>9</v>
      </c>
      <c r="L57" s="10" t="s">
        <v>110</v>
      </c>
      <c r="M57" s="10" t="s">
        <v>66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>
      <c r="A58" s="10" t="s">
        <v>279</v>
      </c>
      <c r="B58" s="10" t="s">
        <v>26</v>
      </c>
      <c r="C58" s="10" t="s">
        <v>272</v>
      </c>
      <c r="D58" s="10" t="s">
        <v>280</v>
      </c>
      <c r="E58" s="10" t="s">
        <v>274</v>
      </c>
      <c r="F58" s="10" t="s">
        <v>150</v>
      </c>
      <c r="G58" s="10" t="s">
        <v>113</v>
      </c>
      <c r="H58" s="10" t="s">
        <v>281</v>
      </c>
      <c r="I58" s="10" t="s">
        <v>115</v>
      </c>
      <c r="J58" s="10" t="s">
        <v>270</v>
      </c>
      <c r="K58" s="10" t="s">
        <v>9</v>
      </c>
      <c r="L58" s="10" t="s">
        <v>116</v>
      </c>
      <c r="M58" s="10" t="s">
        <v>66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">
      <c r="A59" s="10" t="s">
        <v>282</v>
      </c>
      <c r="B59" s="10" t="s">
        <v>26</v>
      </c>
      <c r="C59" s="10" t="s">
        <v>272</v>
      </c>
      <c r="D59" s="10" t="s">
        <v>283</v>
      </c>
      <c r="E59" s="10" t="s">
        <v>274</v>
      </c>
      <c r="F59" s="10" t="s">
        <v>150</v>
      </c>
      <c r="G59" s="10" t="s">
        <v>61</v>
      </c>
      <c r="H59" s="10" t="s">
        <v>284</v>
      </c>
      <c r="I59" s="10" t="s">
        <v>115</v>
      </c>
      <c r="J59" s="10" t="s">
        <v>270</v>
      </c>
      <c r="K59" s="10" t="s">
        <v>9</v>
      </c>
      <c r="L59" s="10" t="s">
        <v>65</v>
      </c>
      <c r="M59" s="10" t="s">
        <v>66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">
      <c r="A60" s="10" t="s">
        <v>285</v>
      </c>
      <c r="B60" s="10" t="s">
        <v>26</v>
      </c>
      <c r="C60" s="10" t="s">
        <v>286</v>
      </c>
      <c r="D60" s="10" t="s">
        <v>287</v>
      </c>
      <c r="E60" s="10" t="s">
        <v>274</v>
      </c>
      <c r="F60" s="10" t="s">
        <v>150</v>
      </c>
      <c r="G60" s="10" t="s">
        <v>113</v>
      </c>
      <c r="H60" s="10" t="s">
        <v>288</v>
      </c>
      <c r="I60" s="10" t="s">
        <v>115</v>
      </c>
      <c r="J60" s="10" t="s">
        <v>270</v>
      </c>
      <c r="K60" s="10" t="s">
        <v>9</v>
      </c>
      <c r="L60" s="10" t="s">
        <v>116</v>
      </c>
      <c r="M60" s="10" t="s">
        <v>66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">
      <c r="A61" s="10" t="s">
        <v>289</v>
      </c>
      <c r="B61" s="10" t="s">
        <v>26</v>
      </c>
      <c r="C61" s="10" t="s">
        <v>290</v>
      </c>
      <c r="D61" s="10" t="s">
        <v>291</v>
      </c>
      <c r="E61" s="10" t="s">
        <v>274</v>
      </c>
      <c r="F61" s="10" t="s">
        <v>150</v>
      </c>
      <c r="G61" s="10" t="s">
        <v>113</v>
      </c>
      <c r="H61" s="10" t="s">
        <v>292</v>
      </c>
      <c r="I61" s="10" t="s">
        <v>115</v>
      </c>
      <c r="J61" s="10" t="s">
        <v>270</v>
      </c>
      <c r="K61" s="10" t="s">
        <v>9</v>
      </c>
      <c r="L61" s="10" t="s">
        <v>116</v>
      </c>
      <c r="M61" s="10" t="s">
        <v>66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>
      <c r="A62" s="10" t="s">
        <v>293</v>
      </c>
      <c r="B62" s="10" t="s">
        <v>26</v>
      </c>
      <c r="C62" s="10" t="s">
        <v>294</v>
      </c>
      <c r="D62" s="10" t="s">
        <v>295</v>
      </c>
      <c r="E62" s="10" t="s">
        <v>274</v>
      </c>
      <c r="F62" s="10" t="s">
        <v>150</v>
      </c>
      <c r="G62" s="10" t="s">
        <v>113</v>
      </c>
      <c r="H62" s="10" t="s">
        <v>296</v>
      </c>
      <c r="I62" s="10" t="s">
        <v>63</v>
      </c>
      <c r="J62" s="10" t="s">
        <v>270</v>
      </c>
      <c r="K62" s="10" t="s">
        <v>9</v>
      </c>
      <c r="L62" s="10" t="s">
        <v>116</v>
      </c>
      <c r="M62" s="10" t="s">
        <v>66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">
      <c r="A63" s="10" t="s">
        <v>297</v>
      </c>
      <c r="B63" s="10" t="s">
        <v>26</v>
      </c>
      <c r="C63" s="10" t="s">
        <v>298</v>
      </c>
      <c r="D63" s="10" t="s">
        <v>299</v>
      </c>
      <c r="E63" s="10" t="s">
        <v>274</v>
      </c>
      <c r="F63" s="10" t="s">
        <v>150</v>
      </c>
      <c r="G63" s="10" t="s">
        <v>113</v>
      </c>
      <c r="H63" s="10" t="s">
        <v>300</v>
      </c>
      <c r="I63" s="10" t="s">
        <v>115</v>
      </c>
      <c r="J63" s="10" t="s">
        <v>270</v>
      </c>
      <c r="K63" s="10" t="s">
        <v>9</v>
      </c>
      <c r="L63" s="10" t="s">
        <v>116</v>
      </c>
      <c r="M63" s="10" t="s">
        <v>66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">
      <c r="A64" s="10" t="s">
        <v>301</v>
      </c>
      <c r="B64" s="10" t="s">
        <v>26</v>
      </c>
      <c r="C64" s="10" t="s">
        <v>302</v>
      </c>
      <c r="D64" s="10" t="s">
        <v>303</v>
      </c>
      <c r="E64" s="10" t="s">
        <v>274</v>
      </c>
      <c r="F64" s="10" t="s">
        <v>150</v>
      </c>
      <c r="G64" s="10" t="s">
        <v>61</v>
      </c>
      <c r="H64" s="10" t="s">
        <v>304</v>
      </c>
      <c r="I64" s="10" t="s">
        <v>63</v>
      </c>
      <c r="J64" s="10" t="s">
        <v>270</v>
      </c>
      <c r="K64" s="10" t="s">
        <v>12</v>
      </c>
      <c r="L64" s="10" t="s">
        <v>65</v>
      </c>
      <c r="M64" s="10" t="s">
        <v>66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">
      <c r="A65" s="10" t="s">
        <v>305</v>
      </c>
      <c r="B65" s="10" t="s">
        <v>26</v>
      </c>
      <c r="C65" s="10" t="s">
        <v>286</v>
      </c>
      <c r="D65" s="10" t="s">
        <v>306</v>
      </c>
      <c r="E65" s="10" t="s">
        <v>274</v>
      </c>
      <c r="F65" s="10" t="s">
        <v>150</v>
      </c>
      <c r="G65" s="10" t="s">
        <v>61</v>
      </c>
      <c r="H65" s="10" t="s">
        <v>307</v>
      </c>
      <c r="I65" s="10" t="s">
        <v>63</v>
      </c>
      <c r="J65" s="10" t="s">
        <v>270</v>
      </c>
      <c r="K65" s="10" t="s">
        <v>12</v>
      </c>
      <c r="L65" s="10" t="s">
        <v>65</v>
      </c>
      <c r="M65" s="10" t="s">
        <v>66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">
      <c r="A66" s="10" t="s">
        <v>308</v>
      </c>
      <c r="B66" s="10" t="s">
        <v>26</v>
      </c>
      <c r="C66" s="10" t="s">
        <v>286</v>
      </c>
      <c r="D66" s="10" t="s">
        <v>309</v>
      </c>
      <c r="E66" s="10" t="s">
        <v>274</v>
      </c>
      <c r="F66" s="10" t="s">
        <v>150</v>
      </c>
      <c r="G66" s="10" t="s">
        <v>61</v>
      </c>
      <c r="H66" s="10" t="s">
        <v>310</v>
      </c>
      <c r="I66" s="10" t="s">
        <v>63</v>
      </c>
      <c r="J66" s="10" t="s">
        <v>270</v>
      </c>
      <c r="K66" s="10" t="s">
        <v>12</v>
      </c>
      <c r="L66" s="10" t="s">
        <v>65</v>
      </c>
      <c r="M66" s="10" t="s">
        <v>66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">
      <c r="A67" s="10" t="s">
        <v>311</v>
      </c>
      <c r="B67" s="10" t="s">
        <v>26</v>
      </c>
      <c r="C67" s="10" t="s">
        <v>286</v>
      </c>
      <c r="D67" s="10" t="s">
        <v>312</v>
      </c>
      <c r="E67" s="10" t="s">
        <v>274</v>
      </c>
      <c r="F67" s="10" t="s">
        <v>150</v>
      </c>
      <c r="G67" s="10" t="s">
        <v>61</v>
      </c>
      <c r="H67" s="10" t="s">
        <v>313</v>
      </c>
      <c r="I67" s="10" t="s">
        <v>63</v>
      </c>
      <c r="J67" s="10" t="s">
        <v>270</v>
      </c>
      <c r="K67" s="10" t="s">
        <v>15</v>
      </c>
      <c r="L67" s="10" t="s">
        <v>65</v>
      </c>
      <c r="M67" s="10" t="s">
        <v>66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">
      <c r="A68" s="10" t="s">
        <v>314</v>
      </c>
      <c r="B68" s="10" t="s">
        <v>26</v>
      </c>
      <c r="C68" s="10" t="s">
        <v>286</v>
      </c>
      <c r="D68" s="10" t="s">
        <v>315</v>
      </c>
      <c r="E68" s="10" t="s">
        <v>274</v>
      </c>
      <c r="F68" s="10" t="s">
        <v>150</v>
      </c>
      <c r="G68" s="10" t="s">
        <v>61</v>
      </c>
      <c r="H68" s="10" t="s">
        <v>316</v>
      </c>
      <c r="I68" s="10" t="s">
        <v>63</v>
      </c>
      <c r="J68" s="10" t="s">
        <v>270</v>
      </c>
      <c r="K68" s="10" t="s">
        <v>15</v>
      </c>
      <c r="L68" s="10" t="s">
        <v>65</v>
      </c>
      <c r="M68" s="10" t="s">
        <v>66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">
      <c r="A69" s="10" t="s">
        <v>317</v>
      </c>
      <c r="B69" s="10" t="s">
        <v>26</v>
      </c>
      <c r="C69" s="10" t="s">
        <v>286</v>
      </c>
      <c r="D69" s="10" t="s">
        <v>318</v>
      </c>
      <c r="E69" s="10" t="s">
        <v>274</v>
      </c>
      <c r="F69" s="10" t="s">
        <v>150</v>
      </c>
      <c r="G69" s="10" t="s">
        <v>61</v>
      </c>
      <c r="H69" s="10" t="s">
        <v>319</v>
      </c>
      <c r="I69" s="10" t="s">
        <v>63</v>
      </c>
      <c r="J69" s="10" t="s">
        <v>64</v>
      </c>
      <c r="K69" s="10" t="s">
        <v>15</v>
      </c>
      <c r="L69" s="10" t="s">
        <v>65</v>
      </c>
      <c r="M69" s="10" t="s">
        <v>66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">
      <c r="A70" s="10" t="s">
        <v>320</v>
      </c>
      <c r="B70" s="10" t="s">
        <v>26</v>
      </c>
      <c r="C70" s="10" t="s">
        <v>286</v>
      </c>
      <c r="D70" s="10" t="s">
        <v>321</v>
      </c>
      <c r="E70" s="10" t="s">
        <v>274</v>
      </c>
      <c r="F70" s="10" t="s">
        <v>150</v>
      </c>
      <c r="G70" s="10" t="s">
        <v>61</v>
      </c>
      <c r="H70" s="10" t="s">
        <v>322</v>
      </c>
      <c r="I70" s="10" t="s">
        <v>63</v>
      </c>
      <c r="J70" s="10" t="s">
        <v>64</v>
      </c>
      <c r="K70" s="10" t="s">
        <v>15</v>
      </c>
      <c r="L70" s="10" t="s">
        <v>65</v>
      </c>
      <c r="M70" s="10" t="s">
        <v>66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">
      <c r="A71" s="10" t="s">
        <v>323</v>
      </c>
      <c r="B71" s="10" t="s">
        <v>26</v>
      </c>
      <c r="C71" s="10" t="s">
        <v>286</v>
      </c>
      <c r="D71" s="10" t="s">
        <v>324</v>
      </c>
      <c r="E71" s="10" t="s">
        <v>274</v>
      </c>
      <c r="F71" s="10" t="s">
        <v>150</v>
      </c>
      <c r="G71" s="10" t="s">
        <v>61</v>
      </c>
      <c r="H71" s="10" t="s">
        <v>325</v>
      </c>
      <c r="I71" s="10" t="s">
        <v>63</v>
      </c>
      <c r="J71" s="10" t="s">
        <v>270</v>
      </c>
      <c r="K71" s="10" t="s">
        <v>15</v>
      </c>
      <c r="L71" s="10" t="s">
        <v>65</v>
      </c>
      <c r="M71" s="10" t="s">
        <v>66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">
      <c r="A72" s="10" t="s">
        <v>326</v>
      </c>
      <c r="B72" s="10" t="s">
        <v>27</v>
      </c>
      <c r="C72" s="10" t="s">
        <v>327</v>
      </c>
      <c r="D72" s="10" t="s">
        <v>328</v>
      </c>
      <c r="E72" s="10" t="s">
        <v>329</v>
      </c>
      <c r="F72" s="10" t="s">
        <v>150</v>
      </c>
      <c r="G72" s="10" t="s">
        <v>101</v>
      </c>
      <c r="H72" s="10" t="s">
        <v>330</v>
      </c>
      <c r="I72" s="10" t="s">
        <v>103</v>
      </c>
      <c r="J72" s="10" t="s">
        <v>331</v>
      </c>
      <c r="K72" s="10" t="s">
        <v>9</v>
      </c>
      <c r="L72" s="10" t="s">
        <v>104</v>
      </c>
      <c r="M72" s="10" t="s">
        <v>66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">
      <c r="A73" s="10" t="s">
        <v>332</v>
      </c>
      <c r="B73" s="10" t="s">
        <v>27</v>
      </c>
      <c r="C73" s="10" t="s">
        <v>327</v>
      </c>
      <c r="D73" s="10" t="s">
        <v>333</v>
      </c>
      <c r="E73" s="10" t="s">
        <v>329</v>
      </c>
      <c r="F73" s="10" t="s">
        <v>150</v>
      </c>
      <c r="G73" s="10" t="s">
        <v>107</v>
      </c>
      <c r="H73" s="10" t="s">
        <v>334</v>
      </c>
      <c r="I73" s="10" t="s">
        <v>109</v>
      </c>
      <c r="J73" s="10" t="s">
        <v>331</v>
      </c>
      <c r="K73" s="10" t="s">
        <v>9</v>
      </c>
      <c r="L73" s="10" t="s">
        <v>110</v>
      </c>
      <c r="M73" s="10" t="s">
        <v>66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">
      <c r="A74" s="10" t="s">
        <v>335</v>
      </c>
      <c r="B74" s="10" t="s">
        <v>27</v>
      </c>
      <c r="C74" s="10" t="s">
        <v>327</v>
      </c>
      <c r="D74" s="10" t="s">
        <v>336</v>
      </c>
      <c r="E74" s="10" t="s">
        <v>329</v>
      </c>
      <c r="F74" s="10" t="s">
        <v>150</v>
      </c>
      <c r="G74" s="10" t="s">
        <v>113</v>
      </c>
      <c r="H74" s="10" t="s">
        <v>337</v>
      </c>
      <c r="I74" s="10" t="s">
        <v>115</v>
      </c>
      <c r="J74" s="10" t="s">
        <v>331</v>
      </c>
      <c r="K74" s="10" t="s">
        <v>9</v>
      </c>
      <c r="L74" s="10" t="s">
        <v>116</v>
      </c>
      <c r="M74" s="10" t="s">
        <v>66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">
      <c r="A75" s="10" t="s">
        <v>338</v>
      </c>
      <c r="B75" s="10" t="s">
        <v>27</v>
      </c>
      <c r="C75" s="10" t="s">
        <v>327</v>
      </c>
      <c r="D75" s="10" t="s">
        <v>339</v>
      </c>
      <c r="E75" s="10" t="s">
        <v>329</v>
      </c>
      <c r="F75" s="10" t="s">
        <v>150</v>
      </c>
      <c r="G75" s="10" t="s">
        <v>61</v>
      </c>
      <c r="H75" s="10" t="s">
        <v>340</v>
      </c>
      <c r="I75" s="10" t="s">
        <v>63</v>
      </c>
      <c r="J75" s="10" t="s">
        <v>64</v>
      </c>
      <c r="K75" s="10" t="s">
        <v>9</v>
      </c>
      <c r="L75" s="10" t="s">
        <v>65</v>
      </c>
      <c r="M75" s="10" t="s">
        <v>66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">
      <c r="A76" s="10" t="s">
        <v>341</v>
      </c>
      <c r="B76" s="10" t="s">
        <v>27</v>
      </c>
      <c r="C76" s="10" t="s">
        <v>327</v>
      </c>
      <c r="D76" s="10" t="s">
        <v>342</v>
      </c>
      <c r="E76" s="10" t="s">
        <v>329</v>
      </c>
      <c r="F76" s="10" t="s">
        <v>150</v>
      </c>
      <c r="G76" s="10" t="s">
        <v>143</v>
      </c>
      <c r="H76" s="10" t="s">
        <v>343</v>
      </c>
      <c r="I76" s="10" t="s">
        <v>63</v>
      </c>
      <c r="J76" s="10" t="s">
        <v>64</v>
      </c>
      <c r="K76" s="10" t="s">
        <v>12</v>
      </c>
      <c r="L76" s="10" t="s">
        <v>145</v>
      </c>
      <c r="M76" s="10" t="s">
        <v>66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">
      <c r="A77" s="10" t="s">
        <v>344</v>
      </c>
      <c r="B77" s="10" t="s">
        <v>27</v>
      </c>
      <c r="C77" s="10" t="s">
        <v>327</v>
      </c>
      <c r="D77" s="10" t="s">
        <v>345</v>
      </c>
      <c r="E77" s="10" t="s">
        <v>329</v>
      </c>
      <c r="F77" s="10" t="s">
        <v>150</v>
      </c>
      <c r="G77" s="10" t="s">
        <v>61</v>
      </c>
      <c r="H77" s="10" t="s">
        <v>346</v>
      </c>
      <c r="I77" s="10" t="s">
        <v>63</v>
      </c>
      <c r="J77" s="10" t="s">
        <v>331</v>
      </c>
      <c r="K77" s="10" t="s">
        <v>12</v>
      </c>
      <c r="L77" s="10" t="s">
        <v>65</v>
      </c>
      <c r="M77" s="10" t="s">
        <v>66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">
      <c r="A78" s="10" t="s">
        <v>347</v>
      </c>
      <c r="B78" s="10" t="s">
        <v>27</v>
      </c>
      <c r="C78" s="10" t="s">
        <v>327</v>
      </c>
      <c r="D78" s="10" t="s">
        <v>348</v>
      </c>
      <c r="E78" s="10" t="s">
        <v>329</v>
      </c>
      <c r="F78" s="10" t="s">
        <v>150</v>
      </c>
      <c r="G78" s="10" t="s">
        <v>61</v>
      </c>
      <c r="H78" s="10" t="s">
        <v>349</v>
      </c>
      <c r="I78" s="10" t="s">
        <v>63</v>
      </c>
      <c r="J78" s="10" t="s">
        <v>331</v>
      </c>
      <c r="K78" s="10" t="s">
        <v>15</v>
      </c>
      <c r="L78" s="10" t="s">
        <v>65</v>
      </c>
      <c r="M78" s="10" t="s">
        <v>66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">
      <c r="A79" s="10" t="s">
        <v>350</v>
      </c>
      <c r="B79" s="10" t="s">
        <v>27</v>
      </c>
      <c r="C79" s="10" t="s">
        <v>327</v>
      </c>
      <c r="D79" s="10" t="s">
        <v>351</v>
      </c>
      <c r="E79" s="10" t="s">
        <v>329</v>
      </c>
      <c r="F79" s="10" t="s">
        <v>150</v>
      </c>
      <c r="G79" s="10" t="s">
        <v>113</v>
      </c>
      <c r="H79" s="10" t="s">
        <v>352</v>
      </c>
      <c r="I79" s="10" t="s">
        <v>353</v>
      </c>
      <c r="J79" s="10" t="s">
        <v>331</v>
      </c>
      <c r="K79" s="10" t="s">
        <v>15</v>
      </c>
      <c r="L79" s="10" t="s">
        <v>116</v>
      </c>
      <c r="M79" s="10" t="s">
        <v>66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">
      <c r="A80" s="10" t="s">
        <v>354</v>
      </c>
      <c r="B80" s="10" t="s">
        <v>27</v>
      </c>
      <c r="C80" s="10" t="s">
        <v>327</v>
      </c>
      <c r="D80" s="10" t="s">
        <v>355</v>
      </c>
      <c r="E80" s="10" t="s">
        <v>329</v>
      </c>
      <c r="F80" s="10" t="s">
        <v>150</v>
      </c>
      <c r="G80" s="10" t="s">
        <v>113</v>
      </c>
      <c r="H80" s="10" t="s">
        <v>356</v>
      </c>
      <c r="I80" s="10" t="s">
        <v>115</v>
      </c>
      <c r="J80" s="10" t="s">
        <v>331</v>
      </c>
      <c r="K80" s="10" t="s">
        <v>15</v>
      </c>
      <c r="L80" s="10" t="s">
        <v>116</v>
      </c>
      <c r="M80" s="10" t="s">
        <v>66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">
      <c r="A81" s="10" t="s">
        <v>357</v>
      </c>
      <c r="B81" s="10" t="s">
        <v>28</v>
      </c>
      <c r="C81" s="10" t="s">
        <v>358</v>
      </c>
      <c r="D81" s="10" t="s">
        <v>359</v>
      </c>
      <c r="E81" s="10" t="s">
        <v>360</v>
      </c>
      <c r="F81" s="10" t="s">
        <v>150</v>
      </c>
      <c r="G81" s="10" t="s">
        <v>101</v>
      </c>
      <c r="H81" s="10" t="s">
        <v>361</v>
      </c>
      <c r="I81" s="10" t="s">
        <v>103</v>
      </c>
      <c r="J81" s="10" t="s">
        <v>362</v>
      </c>
      <c r="K81" s="10" t="s">
        <v>9</v>
      </c>
      <c r="L81" s="10" t="s">
        <v>104</v>
      </c>
      <c r="M81" s="10" t="s">
        <v>66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">
      <c r="A82" s="10" t="s">
        <v>363</v>
      </c>
      <c r="B82" s="10" t="s">
        <v>28</v>
      </c>
      <c r="C82" s="10" t="s">
        <v>358</v>
      </c>
      <c r="D82" s="10" t="s">
        <v>364</v>
      </c>
      <c r="E82" s="10" t="s">
        <v>360</v>
      </c>
      <c r="F82" s="10" t="s">
        <v>150</v>
      </c>
      <c r="G82" s="10" t="s">
        <v>107</v>
      </c>
      <c r="H82" s="10" t="s">
        <v>365</v>
      </c>
      <c r="I82" s="10" t="s">
        <v>109</v>
      </c>
      <c r="J82" s="10" t="s">
        <v>362</v>
      </c>
      <c r="K82" s="10" t="s">
        <v>9</v>
      </c>
      <c r="L82" s="10" t="s">
        <v>110</v>
      </c>
      <c r="M82" s="10" t="s">
        <v>66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">
      <c r="A83" s="10" t="s">
        <v>366</v>
      </c>
      <c r="B83" s="10" t="s">
        <v>28</v>
      </c>
      <c r="C83" s="10" t="s">
        <v>358</v>
      </c>
      <c r="D83" s="10" t="s">
        <v>367</v>
      </c>
      <c r="E83" s="10" t="s">
        <v>360</v>
      </c>
      <c r="F83" s="10" t="s">
        <v>150</v>
      </c>
      <c r="G83" s="10" t="s">
        <v>113</v>
      </c>
      <c r="H83" s="10" t="s">
        <v>368</v>
      </c>
      <c r="I83" s="10" t="s">
        <v>115</v>
      </c>
      <c r="J83" s="10" t="s">
        <v>362</v>
      </c>
      <c r="K83" s="10" t="s">
        <v>9</v>
      </c>
      <c r="L83" s="10" t="s">
        <v>116</v>
      </c>
      <c r="M83" s="10" t="s">
        <v>66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">
      <c r="A84" s="10" t="s">
        <v>369</v>
      </c>
      <c r="B84" s="10" t="s">
        <v>28</v>
      </c>
      <c r="C84" s="10" t="s">
        <v>358</v>
      </c>
      <c r="D84" s="10" t="s">
        <v>370</v>
      </c>
      <c r="E84" s="10" t="s">
        <v>360</v>
      </c>
      <c r="F84" s="10" t="s">
        <v>150</v>
      </c>
      <c r="G84" s="10" t="s">
        <v>61</v>
      </c>
      <c r="H84" s="10" t="s">
        <v>371</v>
      </c>
      <c r="I84" s="10" t="s">
        <v>115</v>
      </c>
      <c r="J84" s="10" t="s">
        <v>362</v>
      </c>
      <c r="K84" s="10" t="s">
        <v>9</v>
      </c>
      <c r="L84" s="10" t="s">
        <v>65</v>
      </c>
      <c r="M84" s="10" t="s">
        <v>66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">
      <c r="A85" s="10" t="s">
        <v>372</v>
      </c>
      <c r="B85" s="10" t="s">
        <v>28</v>
      </c>
      <c r="C85" s="10" t="s">
        <v>358</v>
      </c>
      <c r="D85" s="10" t="s">
        <v>373</v>
      </c>
      <c r="E85" s="10" t="s">
        <v>360</v>
      </c>
      <c r="F85" s="10" t="s">
        <v>150</v>
      </c>
      <c r="G85" s="10" t="s">
        <v>61</v>
      </c>
      <c r="H85" s="10" t="s">
        <v>374</v>
      </c>
      <c r="I85" s="10" t="s">
        <v>63</v>
      </c>
      <c r="J85" s="10" t="s">
        <v>362</v>
      </c>
      <c r="K85" s="10" t="s">
        <v>9</v>
      </c>
      <c r="L85" s="10" t="s">
        <v>65</v>
      </c>
      <c r="M85" s="10" t="s">
        <v>66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">
      <c r="A86" s="10" t="s">
        <v>375</v>
      </c>
      <c r="B86" s="10" t="s">
        <v>28</v>
      </c>
      <c r="C86" s="10" t="s">
        <v>358</v>
      </c>
      <c r="D86" s="10" t="s">
        <v>376</v>
      </c>
      <c r="E86" s="10" t="s">
        <v>360</v>
      </c>
      <c r="F86" s="10" t="s">
        <v>150</v>
      </c>
      <c r="G86" s="10" t="s">
        <v>61</v>
      </c>
      <c r="H86" s="10" t="s">
        <v>377</v>
      </c>
      <c r="I86" s="10" t="s">
        <v>63</v>
      </c>
      <c r="J86" s="10" t="s">
        <v>64</v>
      </c>
      <c r="K86" s="10" t="s">
        <v>9</v>
      </c>
      <c r="L86" s="10" t="s">
        <v>65</v>
      </c>
      <c r="M86" s="10" t="s">
        <v>66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">
      <c r="A87" s="10" t="s">
        <v>378</v>
      </c>
      <c r="B87" s="10" t="s">
        <v>28</v>
      </c>
      <c r="C87" s="10" t="s">
        <v>358</v>
      </c>
      <c r="D87" s="10" t="s">
        <v>379</v>
      </c>
      <c r="E87" s="10" t="s">
        <v>360</v>
      </c>
      <c r="F87" s="10" t="s">
        <v>150</v>
      </c>
      <c r="G87" s="10" t="s">
        <v>61</v>
      </c>
      <c r="H87" s="10" t="s">
        <v>380</v>
      </c>
      <c r="I87" s="10" t="s">
        <v>63</v>
      </c>
      <c r="J87" s="10" t="s">
        <v>362</v>
      </c>
      <c r="K87" s="10" t="s">
        <v>12</v>
      </c>
      <c r="L87" s="10" t="s">
        <v>65</v>
      </c>
      <c r="M87" s="10" t="s">
        <v>66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">
      <c r="A88" s="10" t="s">
        <v>381</v>
      </c>
      <c r="B88" s="10" t="s">
        <v>28</v>
      </c>
      <c r="C88" s="10" t="s">
        <v>358</v>
      </c>
      <c r="D88" s="10" t="s">
        <v>382</v>
      </c>
      <c r="E88" s="10" t="s">
        <v>360</v>
      </c>
      <c r="F88" s="10" t="s">
        <v>150</v>
      </c>
      <c r="G88" s="10" t="s">
        <v>61</v>
      </c>
      <c r="H88" s="10" t="s">
        <v>383</v>
      </c>
      <c r="I88" s="10" t="s">
        <v>63</v>
      </c>
      <c r="J88" s="10" t="s">
        <v>260</v>
      </c>
      <c r="K88" s="10" t="s">
        <v>12</v>
      </c>
      <c r="L88" s="10" t="s">
        <v>65</v>
      </c>
      <c r="M88" s="10" t="s">
        <v>66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">
      <c r="A89" s="10" t="s">
        <v>384</v>
      </c>
      <c r="B89" s="10" t="s">
        <v>28</v>
      </c>
      <c r="C89" s="10" t="s">
        <v>358</v>
      </c>
      <c r="D89" s="10" t="s">
        <v>385</v>
      </c>
      <c r="E89" s="10" t="s">
        <v>360</v>
      </c>
      <c r="F89" s="10" t="s">
        <v>150</v>
      </c>
      <c r="G89" s="10" t="s">
        <v>125</v>
      </c>
      <c r="H89" s="10" t="s">
        <v>386</v>
      </c>
      <c r="I89" s="10" t="s">
        <v>96</v>
      </c>
      <c r="J89" s="10" t="s">
        <v>362</v>
      </c>
      <c r="K89" s="10" t="s">
        <v>15</v>
      </c>
      <c r="L89" s="10" t="s">
        <v>127</v>
      </c>
      <c r="M89" s="10" t="s">
        <v>66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">
      <c r="A90" s="10" t="s">
        <v>387</v>
      </c>
      <c r="B90" s="10" t="s">
        <v>28</v>
      </c>
      <c r="C90" s="10" t="s">
        <v>358</v>
      </c>
      <c r="D90" s="10" t="s">
        <v>388</v>
      </c>
      <c r="E90" s="10" t="s">
        <v>360</v>
      </c>
      <c r="F90" s="10" t="s">
        <v>150</v>
      </c>
      <c r="G90" s="10" t="s">
        <v>125</v>
      </c>
      <c r="H90" s="10" t="s">
        <v>389</v>
      </c>
      <c r="I90" s="10" t="s">
        <v>96</v>
      </c>
      <c r="J90" s="10" t="s">
        <v>362</v>
      </c>
      <c r="K90" s="10" t="s">
        <v>15</v>
      </c>
      <c r="L90" s="10" t="s">
        <v>127</v>
      </c>
      <c r="M90" s="10" t="s">
        <v>66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">
      <c r="A91" s="10" t="s">
        <v>390</v>
      </c>
      <c r="B91" s="10" t="s">
        <v>28</v>
      </c>
      <c r="C91" s="10" t="s">
        <v>358</v>
      </c>
      <c r="D91" s="10" t="s">
        <v>391</v>
      </c>
      <c r="E91" s="10" t="s">
        <v>360</v>
      </c>
      <c r="F91" s="10" t="s">
        <v>150</v>
      </c>
      <c r="G91" s="10" t="s">
        <v>61</v>
      </c>
      <c r="H91" s="10" t="s">
        <v>392</v>
      </c>
      <c r="I91" s="10" t="s">
        <v>63</v>
      </c>
      <c r="J91" s="10" t="s">
        <v>393</v>
      </c>
      <c r="K91" s="10" t="s">
        <v>15</v>
      </c>
      <c r="L91" s="10" t="s">
        <v>65</v>
      </c>
      <c r="M91" s="10" t="s">
        <v>66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">
      <c r="A92" s="10" t="s">
        <v>394</v>
      </c>
      <c r="B92" s="10" t="s">
        <v>28</v>
      </c>
      <c r="C92" s="10" t="s">
        <v>358</v>
      </c>
      <c r="D92" s="10" t="s">
        <v>395</v>
      </c>
      <c r="E92" s="10" t="s">
        <v>360</v>
      </c>
      <c r="F92" s="10" t="s">
        <v>150</v>
      </c>
      <c r="G92" s="10" t="s">
        <v>61</v>
      </c>
      <c r="H92" s="10" t="s">
        <v>396</v>
      </c>
      <c r="I92" s="10" t="s">
        <v>63</v>
      </c>
      <c r="J92" s="10" t="s">
        <v>64</v>
      </c>
      <c r="K92" s="10" t="s">
        <v>15</v>
      </c>
      <c r="L92" s="10" t="s">
        <v>65</v>
      </c>
      <c r="M92" s="10" t="s">
        <v>66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">
      <c r="A93" s="10" t="s">
        <v>397</v>
      </c>
      <c r="B93" s="10" t="s">
        <v>29</v>
      </c>
      <c r="C93" s="10" t="s">
        <v>398</v>
      </c>
      <c r="D93" s="10" t="s">
        <v>399</v>
      </c>
      <c r="E93" s="10" t="s">
        <v>400</v>
      </c>
      <c r="F93" s="10" t="s">
        <v>150</v>
      </c>
      <c r="G93" s="10" t="s">
        <v>143</v>
      </c>
      <c r="H93" s="10" t="s">
        <v>401</v>
      </c>
      <c r="I93" s="10" t="s">
        <v>63</v>
      </c>
      <c r="J93" s="10" t="s">
        <v>64</v>
      </c>
      <c r="K93" s="10" t="s">
        <v>9</v>
      </c>
      <c r="L93" s="10" t="s">
        <v>145</v>
      </c>
      <c r="M93" s="10" t="s">
        <v>66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">
      <c r="A94" s="10" t="s">
        <v>402</v>
      </c>
      <c r="B94" s="10" t="s">
        <v>29</v>
      </c>
      <c r="C94" s="10" t="s">
        <v>398</v>
      </c>
      <c r="D94" s="10" t="s">
        <v>403</v>
      </c>
      <c r="E94" s="10" t="s">
        <v>400</v>
      </c>
      <c r="F94" s="10" t="s">
        <v>150</v>
      </c>
      <c r="G94" s="10" t="s">
        <v>61</v>
      </c>
      <c r="H94" s="10" t="s">
        <v>404</v>
      </c>
      <c r="I94" s="10" t="s">
        <v>63</v>
      </c>
      <c r="J94" s="10" t="s">
        <v>64</v>
      </c>
      <c r="K94" s="10" t="s">
        <v>9</v>
      </c>
      <c r="L94" s="10" t="s">
        <v>65</v>
      </c>
      <c r="M94" s="10" t="s">
        <v>66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">
      <c r="A95" s="10" t="s">
        <v>405</v>
      </c>
      <c r="B95" s="10" t="s">
        <v>29</v>
      </c>
      <c r="C95" s="10" t="s">
        <v>398</v>
      </c>
      <c r="D95" s="10" t="s">
        <v>406</v>
      </c>
      <c r="E95" s="10" t="s">
        <v>400</v>
      </c>
      <c r="F95" s="10" t="s">
        <v>150</v>
      </c>
      <c r="G95" s="10" t="s">
        <v>61</v>
      </c>
      <c r="H95" s="10" t="s">
        <v>407</v>
      </c>
      <c r="I95" s="10" t="s">
        <v>63</v>
      </c>
      <c r="J95" s="10" t="s">
        <v>176</v>
      </c>
      <c r="K95" s="10" t="s">
        <v>9</v>
      </c>
      <c r="L95" s="10" t="s">
        <v>65</v>
      </c>
      <c r="M95" s="10" t="s">
        <v>66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">
      <c r="A96" s="10" t="s">
        <v>408</v>
      </c>
      <c r="B96" s="10" t="s">
        <v>29</v>
      </c>
      <c r="C96" s="10" t="s">
        <v>398</v>
      </c>
      <c r="D96" s="10" t="s">
        <v>409</v>
      </c>
      <c r="E96" s="10" t="s">
        <v>400</v>
      </c>
      <c r="F96" s="10" t="s">
        <v>150</v>
      </c>
      <c r="G96" s="10" t="s">
        <v>101</v>
      </c>
      <c r="H96" s="10" t="s">
        <v>410</v>
      </c>
      <c r="I96" s="10" t="s">
        <v>103</v>
      </c>
      <c r="J96" s="10" t="s">
        <v>64</v>
      </c>
      <c r="K96" s="10" t="s">
        <v>9</v>
      </c>
      <c r="L96" s="10" t="s">
        <v>104</v>
      </c>
      <c r="M96" s="10" t="s">
        <v>66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">
      <c r="A97" s="10" t="s">
        <v>411</v>
      </c>
      <c r="B97" s="10" t="s">
        <v>29</v>
      </c>
      <c r="C97" s="10" t="s">
        <v>398</v>
      </c>
      <c r="D97" s="10" t="s">
        <v>412</v>
      </c>
      <c r="E97" s="10" t="s">
        <v>400</v>
      </c>
      <c r="F97" s="10" t="s">
        <v>150</v>
      </c>
      <c r="G97" s="10" t="s">
        <v>101</v>
      </c>
      <c r="H97" s="10" t="s">
        <v>413</v>
      </c>
      <c r="I97" s="10" t="s">
        <v>103</v>
      </c>
      <c r="J97" s="10" t="s">
        <v>64</v>
      </c>
      <c r="K97" s="10" t="s">
        <v>9</v>
      </c>
      <c r="L97" s="10" t="s">
        <v>104</v>
      </c>
      <c r="M97" s="10" t="s">
        <v>66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">
      <c r="A98" s="10" t="s">
        <v>414</v>
      </c>
      <c r="B98" s="10" t="s">
        <v>29</v>
      </c>
      <c r="C98" s="10" t="s">
        <v>398</v>
      </c>
      <c r="D98" s="10" t="s">
        <v>415</v>
      </c>
      <c r="E98" s="10" t="s">
        <v>400</v>
      </c>
      <c r="F98" s="10" t="s">
        <v>150</v>
      </c>
      <c r="G98" s="10" t="s">
        <v>61</v>
      </c>
      <c r="H98" s="10" t="s">
        <v>416</v>
      </c>
      <c r="I98" s="10" t="s">
        <v>63</v>
      </c>
      <c r="J98" s="10" t="s">
        <v>64</v>
      </c>
      <c r="K98" s="10" t="s">
        <v>9</v>
      </c>
      <c r="L98" s="10" t="s">
        <v>65</v>
      </c>
      <c r="M98" s="10" t="s">
        <v>66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">
      <c r="A99" s="10" t="s">
        <v>417</v>
      </c>
      <c r="B99" s="10" t="s">
        <v>29</v>
      </c>
      <c r="C99" s="10" t="s">
        <v>418</v>
      </c>
      <c r="D99" s="10" t="s">
        <v>419</v>
      </c>
      <c r="E99" s="10" t="s">
        <v>400</v>
      </c>
      <c r="F99" s="10" t="s">
        <v>150</v>
      </c>
      <c r="G99" s="10" t="s">
        <v>61</v>
      </c>
      <c r="H99" s="10" t="s">
        <v>420</v>
      </c>
      <c r="I99" s="10" t="s">
        <v>63</v>
      </c>
      <c r="J99" s="10" t="s">
        <v>64</v>
      </c>
      <c r="K99" s="10" t="s">
        <v>9</v>
      </c>
      <c r="L99" s="10" t="s">
        <v>65</v>
      </c>
      <c r="M99" s="10" t="s">
        <v>66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">
      <c r="A100" s="10" t="s">
        <v>421</v>
      </c>
      <c r="B100" s="10" t="s">
        <v>29</v>
      </c>
      <c r="C100" s="10" t="s">
        <v>418</v>
      </c>
      <c r="D100" s="10" t="s">
        <v>422</v>
      </c>
      <c r="E100" s="10" t="s">
        <v>400</v>
      </c>
      <c r="F100" s="10" t="s">
        <v>150</v>
      </c>
      <c r="G100" s="10" t="s">
        <v>113</v>
      </c>
      <c r="H100" s="10" t="s">
        <v>423</v>
      </c>
      <c r="I100" s="10" t="s">
        <v>115</v>
      </c>
      <c r="J100" s="10" t="s">
        <v>64</v>
      </c>
      <c r="K100" s="10" t="s">
        <v>9</v>
      </c>
      <c r="L100" s="10" t="s">
        <v>116</v>
      </c>
      <c r="M100" s="10" t="s">
        <v>66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">
      <c r="A101" s="10" t="s">
        <v>424</v>
      </c>
      <c r="B101" s="10" t="s">
        <v>29</v>
      </c>
      <c r="C101" s="10" t="s">
        <v>418</v>
      </c>
      <c r="D101" s="10" t="s">
        <v>425</v>
      </c>
      <c r="E101" s="10" t="s">
        <v>400</v>
      </c>
      <c r="F101" s="10" t="s">
        <v>150</v>
      </c>
      <c r="G101" s="10" t="s">
        <v>61</v>
      </c>
      <c r="H101" s="10" t="s">
        <v>426</v>
      </c>
      <c r="I101" s="10" t="s">
        <v>63</v>
      </c>
      <c r="J101" s="10" t="s">
        <v>64</v>
      </c>
      <c r="K101" s="10" t="s">
        <v>9</v>
      </c>
      <c r="L101" s="10" t="s">
        <v>65</v>
      </c>
      <c r="M101" s="10" t="s">
        <v>66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">
      <c r="A102" s="10" t="s">
        <v>427</v>
      </c>
      <c r="B102" s="10" t="s">
        <v>29</v>
      </c>
      <c r="C102" s="10" t="s">
        <v>418</v>
      </c>
      <c r="D102" s="10" t="s">
        <v>428</v>
      </c>
      <c r="E102" s="10" t="s">
        <v>400</v>
      </c>
      <c r="F102" s="10" t="s">
        <v>150</v>
      </c>
      <c r="G102" s="10" t="s">
        <v>61</v>
      </c>
      <c r="H102" s="10" t="s">
        <v>429</v>
      </c>
      <c r="I102" s="10" t="s">
        <v>63</v>
      </c>
      <c r="J102" s="10" t="s">
        <v>64</v>
      </c>
      <c r="K102" s="10" t="s">
        <v>12</v>
      </c>
      <c r="L102" s="10" t="s">
        <v>65</v>
      </c>
      <c r="M102" s="10" t="s">
        <v>66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">
      <c r="A103" s="10" t="s">
        <v>430</v>
      </c>
      <c r="B103" s="10" t="s">
        <v>29</v>
      </c>
      <c r="C103" s="10" t="s">
        <v>418</v>
      </c>
      <c r="D103" s="10" t="s">
        <v>431</v>
      </c>
      <c r="E103" s="10" t="s">
        <v>400</v>
      </c>
      <c r="F103" s="10" t="s">
        <v>150</v>
      </c>
      <c r="G103" s="10" t="s">
        <v>61</v>
      </c>
      <c r="H103" s="10" t="s">
        <v>432</v>
      </c>
      <c r="I103" s="10" t="s">
        <v>63</v>
      </c>
      <c r="J103" s="10" t="s">
        <v>64</v>
      </c>
      <c r="K103" s="10" t="s">
        <v>12</v>
      </c>
      <c r="L103" s="10" t="s">
        <v>65</v>
      </c>
      <c r="M103" s="10" t="s">
        <v>66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">
      <c r="A104" s="10" t="s">
        <v>433</v>
      </c>
      <c r="B104" s="10" t="s">
        <v>29</v>
      </c>
      <c r="C104" s="10" t="s">
        <v>418</v>
      </c>
      <c r="D104" s="10" t="s">
        <v>434</v>
      </c>
      <c r="E104" s="10" t="s">
        <v>400</v>
      </c>
      <c r="F104" s="10" t="s">
        <v>150</v>
      </c>
      <c r="G104" s="10" t="s">
        <v>107</v>
      </c>
      <c r="H104" s="10" t="s">
        <v>435</v>
      </c>
      <c r="I104" s="10" t="s">
        <v>436</v>
      </c>
      <c r="J104" s="10" t="s">
        <v>64</v>
      </c>
      <c r="K104" s="10" t="s">
        <v>12</v>
      </c>
      <c r="L104" s="10" t="s">
        <v>110</v>
      </c>
      <c r="M104" s="10" t="s">
        <v>66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">
      <c r="A105" s="10" t="s">
        <v>437</v>
      </c>
      <c r="B105" s="10" t="s">
        <v>29</v>
      </c>
      <c r="C105" s="10" t="s">
        <v>418</v>
      </c>
      <c r="D105" s="10" t="s">
        <v>438</v>
      </c>
      <c r="E105" s="10" t="s">
        <v>400</v>
      </c>
      <c r="F105" s="10" t="s">
        <v>150</v>
      </c>
      <c r="G105" s="10" t="s">
        <v>61</v>
      </c>
      <c r="H105" s="10" t="s">
        <v>439</v>
      </c>
      <c r="I105" s="10" t="s">
        <v>83</v>
      </c>
      <c r="J105" s="10" t="s">
        <v>64</v>
      </c>
      <c r="K105" s="10" t="s">
        <v>12</v>
      </c>
      <c r="L105" s="10" t="s">
        <v>65</v>
      </c>
      <c r="M105" s="10" t="s">
        <v>66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">
      <c r="A106" s="10" t="s">
        <v>440</v>
      </c>
      <c r="B106" s="10" t="s">
        <v>29</v>
      </c>
      <c r="C106" s="10" t="s">
        <v>418</v>
      </c>
      <c r="D106" s="10" t="s">
        <v>441</v>
      </c>
      <c r="E106" s="10" t="s">
        <v>400</v>
      </c>
      <c r="F106" s="10" t="s">
        <v>150</v>
      </c>
      <c r="G106" s="10" t="s">
        <v>61</v>
      </c>
      <c r="H106" s="10" t="s">
        <v>442</v>
      </c>
      <c r="I106" s="10" t="s">
        <v>63</v>
      </c>
      <c r="J106" s="10" t="s">
        <v>443</v>
      </c>
      <c r="K106" s="10" t="s">
        <v>15</v>
      </c>
      <c r="L106" s="10" t="s">
        <v>65</v>
      </c>
      <c r="M106" s="10" t="s">
        <v>66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">
      <c r="A107" s="10" t="s">
        <v>444</v>
      </c>
      <c r="B107" s="10" t="s">
        <v>29</v>
      </c>
      <c r="C107" s="10" t="s">
        <v>418</v>
      </c>
      <c r="D107" s="10" t="s">
        <v>445</v>
      </c>
      <c r="E107" s="10" t="s">
        <v>400</v>
      </c>
      <c r="F107" s="10" t="s">
        <v>150</v>
      </c>
      <c r="G107" s="10" t="s">
        <v>61</v>
      </c>
      <c r="H107" s="10" t="s">
        <v>446</v>
      </c>
      <c r="I107" s="10" t="s">
        <v>63</v>
      </c>
      <c r="J107" s="10" t="s">
        <v>64</v>
      </c>
      <c r="K107" s="10" t="s">
        <v>15</v>
      </c>
      <c r="L107" s="10" t="s">
        <v>65</v>
      </c>
      <c r="M107" s="10" t="s">
        <v>66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">
      <c r="A108" s="10" t="s">
        <v>447</v>
      </c>
      <c r="B108" s="10" t="s">
        <v>29</v>
      </c>
      <c r="C108" s="10" t="s">
        <v>398</v>
      </c>
      <c r="D108" s="10" t="s">
        <v>448</v>
      </c>
      <c r="E108" s="10" t="s">
        <v>400</v>
      </c>
      <c r="F108" s="10" t="s">
        <v>150</v>
      </c>
      <c r="G108" s="10" t="s">
        <v>61</v>
      </c>
      <c r="H108" s="10" t="s">
        <v>449</v>
      </c>
      <c r="I108" s="10" t="s">
        <v>63</v>
      </c>
      <c r="J108" s="10" t="s">
        <v>393</v>
      </c>
      <c r="K108" s="10" t="s">
        <v>15</v>
      </c>
      <c r="L108" s="10" t="s">
        <v>65</v>
      </c>
      <c r="M108" s="10" t="s">
        <v>66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">
      <c r="A109" s="10" t="s">
        <v>450</v>
      </c>
      <c r="B109" s="10" t="s">
        <v>29</v>
      </c>
      <c r="C109" s="10" t="s">
        <v>451</v>
      </c>
      <c r="D109" s="10" t="s">
        <v>452</v>
      </c>
      <c r="E109" s="10" t="s">
        <v>400</v>
      </c>
      <c r="F109" s="10" t="s">
        <v>150</v>
      </c>
      <c r="G109" s="10" t="s">
        <v>244</v>
      </c>
      <c r="H109" s="10" t="s">
        <v>453</v>
      </c>
      <c r="I109" s="10" t="s">
        <v>246</v>
      </c>
      <c r="J109" s="10" t="s">
        <v>64</v>
      </c>
      <c r="K109" s="10" t="s">
        <v>15</v>
      </c>
      <c r="L109" s="10" t="s">
        <v>244</v>
      </c>
      <c r="M109" s="10" t="s">
        <v>66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">
      <c r="A110" s="10" t="s">
        <v>454</v>
      </c>
      <c r="B110" s="10" t="s">
        <v>29</v>
      </c>
      <c r="C110" s="10" t="s">
        <v>451</v>
      </c>
      <c r="D110" s="10" t="s">
        <v>455</v>
      </c>
      <c r="E110" s="10" t="s">
        <v>400</v>
      </c>
      <c r="F110" s="10" t="s">
        <v>150</v>
      </c>
      <c r="G110" s="10" t="s">
        <v>61</v>
      </c>
      <c r="H110" s="10" t="s">
        <v>456</v>
      </c>
      <c r="I110" s="10" t="s">
        <v>63</v>
      </c>
      <c r="J110" s="10" t="s">
        <v>64</v>
      </c>
      <c r="K110" s="10" t="s">
        <v>15</v>
      </c>
      <c r="L110" s="10" t="s">
        <v>65</v>
      </c>
      <c r="M110" s="10" t="s">
        <v>66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">
      <c r="A111" s="10" t="s">
        <v>457</v>
      </c>
      <c r="B111" s="10" t="s">
        <v>30</v>
      </c>
      <c r="C111" s="10" t="s">
        <v>30</v>
      </c>
      <c r="D111" s="10" t="s">
        <v>458</v>
      </c>
      <c r="E111" s="10" t="s">
        <v>459</v>
      </c>
      <c r="F111" s="10" t="s">
        <v>150</v>
      </c>
      <c r="G111" s="10" t="s">
        <v>61</v>
      </c>
      <c r="H111" s="10" t="s">
        <v>460</v>
      </c>
      <c r="I111" s="10" t="s">
        <v>63</v>
      </c>
      <c r="J111" s="10" t="s">
        <v>461</v>
      </c>
      <c r="K111" s="10" t="s">
        <v>9</v>
      </c>
      <c r="L111" s="10" t="s">
        <v>65</v>
      </c>
      <c r="M111" s="10" t="s">
        <v>66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">
      <c r="A112" s="10" t="s">
        <v>462</v>
      </c>
      <c r="B112" s="10" t="s">
        <v>30</v>
      </c>
      <c r="C112" s="10" t="s">
        <v>30</v>
      </c>
      <c r="D112" s="10" t="s">
        <v>463</v>
      </c>
      <c r="E112" s="10" t="s">
        <v>459</v>
      </c>
      <c r="F112" s="10" t="s">
        <v>150</v>
      </c>
      <c r="G112" s="10" t="s">
        <v>61</v>
      </c>
      <c r="H112" s="10" t="s">
        <v>464</v>
      </c>
      <c r="I112" s="10" t="s">
        <v>63</v>
      </c>
      <c r="J112" s="10" t="s">
        <v>461</v>
      </c>
      <c r="K112" s="10" t="s">
        <v>9</v>
      </c>
      <c r="L112" s="10" t="s">
        <v>65</v>
      </c>
      <c r="M112" s="10" t="s">
        <v>66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">
      <c r="A113" s="10" t="s">
        <v>465</v>
      </c>
      <c r="B113" s="10" t="s">
        <v>30</v>
      </c>
      <c r="C113" s="10" t="s">
        <v>30</v>
      </c>
      <c r="D113" s="10" t="s">
        <v>466</v>
      </c>
      <c r="E113" s="10" t="s">
        <v>459</v>
      </c>
      <c r="F113" s="10" t="s">
        <v>150</v>
      </c>
      <c r="G113" s="10" t="s">
        <v>113</v>
      </c>
      <c r="H113" s="10" t="s">
        <v>467</v>
      </c>
      <c r="I113" s="10" t="s">
        <v>115</v>
      </c>
      <c r="J113" s="10" t="s">
        <v>270</v>
      </c>
      <c r="K113" s="10" t="s">
        <v>9</v>
      </c>
      <c r="L113" s="10" t="s">
        <v>116</v>
      </c>
      <c r="M113" s="10" t="s">
        <v>66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">
      <c r="A114" s="10" t="s">
        <v>468</v>
      </c>
      <c r="B114" s="10" t="s">
        <v>30</v>
      </c>
      <c r="C114" s="10" t="s">
        <v>30</v>
      </c>
      <c r="D114" s="10" t="s">
        <v>469</v>
      </c>
      <c r="E114" s="10" t="s">
        <v>470</v>
      </c>
      <c r="F114" s="10" t="s">
        <v>150</v>
      </c>
      <c r="G114" s="10" t="s">
        <v>61</v>
      </c>
      <c r="H114" s="10" t="s">
        <v>471</v>
      </c>
      <c r="I114" s="10" t="s">
        <v>63</v>
      </c>
      <c r="J114" s="10" t="s">
        <v>461</v>
      </c>
      <c r="K114" s="10" t="s">
        <v>9</v>
      </c>
      <c r="L114" s="10" t="s">
        <v>65</v>
      </c>
      <c r="M114" s="10" t="s">
        <v>66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">
      <c r="A115" s="10" t="s">
        <v>472</v>
      </c>
      <c r="B115" s="10" t="s">
        <v>30</v>
      </c>
      <c r="C115" s="10" t="s">
        <v>30</v>
      </c>
      <c r="D115" s="10" t="s">
        <v>473</v>
      </c>
      <c r="E115" s="10" t="s">
        <v>459</v>
      </c>
      <c r="F115" s="10" t="s">
        <v>150</v>
      </c>
      <c r="G115" s="10" t="s">
        <v>61</v>
      </c>
      <c r="H115" s="10" t="s">
        <v>474</v>
      </c>
      <c r="I115" s="10" t="s">
        <v>63</v>
      </c>
      <c r="J115" s="10" t="s">
        <v>270</v>
      </c>
      <c r="K115" s="10" t="s">
        <v>9</v>
      </c>
      <c r="L115" s="10" t="s">
        <v>65</v>
      </c>
      <c r="M115" s="10" t="s">
        <v>66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">
      <c r="A116" s="10" t="s">
        <v>475</v>
      </c>
      <c r="B116" s="10" t="s">
        <v>30</v>
      </c>
      <c r="C116" s="10" t="s">
        <v>30</v>
      </c>
      <c r="D116" s="10" t="s">
        <v>476</v>
      </c>
      <c r="E116" s="10" t="s">
        <v>470</v>
      </c>
      <c r="F116" s="10" t="s">
        <v>150</v>
      </c>
      <c r="G116" s="10" t="s">
        <v>61</v>
      </c>
      <c r="H116" s="10" t="s">
        <v>477</v>
      </c>
      <c r="I116" s="10" t="s">
        <v>83</v>
      </c>
      <c r="J116" s="10" t="s">
        <v>270</v>
      </c>
      <c r="K116" s="10" t="s">
        <v>12</v>
      </c>
      <c r="L116" s="10" t="s">
        <v>65</v>
      </c>
      <c r="M116" s="10" t="s">
        <v>66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">
      <c r="A117" s="10" t="s">
        <v>478</v>
      </c>
      <c r="B117" s="10" t="s">
        <v>30</v>
      </c>
      <c r="C117" s="10" t="s">
        <v>30</v>
      </c>
      <c r="D117" s="10" t="s">
        <v>479</v>
      </c>
      <c r="E117" s="10" t="s">
        <v>459</v>
      </c>
      <c r="F117" s="10" t="s">
        <v>150</v>
      </c>
      <c r="G117" s="10" t="s">
        <v>61</v>
      </c>
      <c r="H117" s="10" t="s">
        <v>480</v>
      </c>
      <c r="I117" s="10" t="s">
        <v>63</v>
      </c>
      <c r="J117" s="10" t="s">
        <v>64</v>
      </c>
      <c r="K117" s="10" t="s">
        <v>12</v>
      </c>
      <c r="L117" s="10" t="s">
        <v>65</v>
      </c>
      <c r="M117" s="10" t="s">
        <v>66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">
      <c r="A118" s="10" t="s">
        <v>481</v>
      </c>
      <c r="B118" s="10" t="s">
        <v>30</v>
      </c>
      <c r="C118" s="10" t="s">
        <v>30</v>
      </c>
      <c r="D118" s="10" t="s">
        <v>482</v>
      </c>
      <c r="E118" s="10" t="s">
        <v>483</v>
      </c>
      <c r="F118" s="10" t="s">
        <v>150</v>
      </c>
      <c r="G118" s="10" t="s">
        <v>125</v>
      </c>
      <c r="H118" s="10" t="s">
        <v>484</v>
      </c>
      <c r="I118" s="10" t="s">
        <v>96</v>
      </c>
      <c r="J118" s="10" t="s">
        <v>461</v>
      </c>
      <c r="K118" s="10" t="s">
        <v>12</v>
      </c>
      <c r="L118" s="10" t="s">
        <v>127</v>
      </c>
      <c r="M118" s="10" t="s">
        <v>66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">
      <c r="A119" s="10" t="s">
        <v>485</v>
      </c>
      <c r="B119" s="10" t="s">
        <v>30</v>
      </c>
      <c r="C119" s="10" t="s">
        <v>30</v>
      </c>
      <c r="D119" s="10" t="s">
        <v>486</v>
      </c>
      <c r="E119" s="10" t="s">
        <v>483</v>
      </c>
      <c r="F119" s="10" t="s">
        <v>150</v>
      </c>
      <c r="G119" s="10" t="s">
        <v>61</v>
      </c>
      <c r="H119" s="10" t="s">
        <v>487</v>
      </c>
      <c r="I119" s="10" t="s">
        <v>63</v>
      </c>
      <c r="J119" s="10" t="s">
        <v>64</v>
      </c>
      <c r="K119" s="10" t="s">
        <v>15</v>
      </c>
      <c r="L119" s="10" t="s">
        <v>65</v>
      </c>
      <c r="M119" s="10" t="s">
        <v>66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">
      <c r="A120" s="10" t="s">
        <v>488</v>
      </c>
      <c r="B120" s="10" t="s">
        <v>30</v>
      </c>
      <c r="C120" s="10" t="s">
        <v>30</v>
      </c>
      <c r="D120" s="10" t="s">
        <v>489</v>
      </c>
      <c r="E120" s="10" t="s">
        <v>483</v>
      </c>
      <c r="F120" s="10" t="s">
        <v>150</v>
      </c>
      <c r="G120" s="10" t="s">
        <v>125</v>
      </c>
      <c r="H120" s="10" t="s">
        <v>490</v>
      </c>
      <c r="I120" s="10" t="s">
        <v>96</v>
      </c>
      <c r="J120" s="10" t="s">
        <v>461</v>
      </c>
      <c r="K120" s="10" t="s">
        <v>15</v>
      </c>
      <c r="L120" s="10" t="s">
        <v>127</v>
      </c>
      <c r="M120" s="10" t="s">
        <v>66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">
      <c r="A121" s="10" t="s">
        <v>491</v>
      </c>
      <c r="B121" s="10" t="s">
        <v>31</v>
      </c>
      <c r="C121" s="10" t="s">
        <v>492</v>
      </c>
      <c r="D121" s="10" t="s">
        <v>493</v>
      </c>
      <c r="E121" s="10" t="s">
        <v>494</v>
      </c>
      <c r="F121" s="10" t="s">
        <v>150</v>
      </c>
      <c r="G121" s="10" t="s">
        <v>94</v>
      </c>
      <c r="H121" s="10" t="s">
        <v>495</v>
      </c>
      <c r="I121" s="10" t="s">
        <v>496</v>
      </c>
      <c r="J121" s="10" t="s">
        <v>97</v>
      </c>
      <c r="K121" s="10" t="s">
        <v>9</v>
      </c>
      <c r="L121" s="10" t="s">
        <v>98</v>
      </c>
      <c r="M121" s="10" t="s">
        <v>66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">
      <c r="A122" s="10" t="s">
        <v>497</v>
      </c>
      <c r="B122" s="10" t="s">
        <v>31</v>
      </c>
      <c r="C122" s="10" t="s">
        <v>492</v>
      </c>
      <c r="D122" s="10" t="s">
        <v>498</v>
      </c>
      <c r="E122" s="10" t="s">
        <v>494</v>
      </c>
      <c r="F122" s="10" t="s">
        <v>150</v>
      </c>
      <c r="G122" s="10" t="s">
        <v>107</v>
      </c>
      <c r="H122" s="10" t="s">
        <v>499</v>
      </c>
      <c r="I122" s="10" t="s">
        <v>500</v>
      </c>
      <c r="J122" s="10" t="s">
        <v>501</v>
      </c>
      <c r="K122" s="10" t="s">
        <v>9</v>
      </c>
      <c r="L122" s="10" t="s">
        <v>110</v>
      </c>
      <c r="M122" s="10" t="s">
        <v>66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">
      <c r="A123" s="10" t="s">
        <v>502</v>
      </c>
      <c r="B123" s="10" t="s">
        <v>31</v>
      </c>
      <c r="C123" s="10" t="s">
        <v>492</v>
      </c>
      <c r="D123" s="10" t="s">
        <v>503</v>
      </c>
      <c r="E123" s="10" t="s">
        <v>494</v>
      </c>
      <c r="F123" s="10" t="s">
        <v>150</v>
      </c>
      <c r="G123" s="10" t="s">
        <v>107</v>
      </c>
      <c r="H123" s="10" t="s">
        <v>504</v>
      </c>
      <c r="I123" s="10" t="s">
        <v>109</v>
      </c>
      <c r="J123" s="10" t="s">
        <v>501</v>
      </c>
      <c r="K123" s="10" t="s">
        <v>9</v>
      </c>
      <c r="L123" s="10" t="s">
        <v>110</v>
      </c>
      <c r="M123" s="10" t="s">
        <v>66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">
      <c r="A124" s="10" t="s">
        <v>505</v>
      </c>
      <c r="B124" s="10" t="s">
        <v>31</v>
      </c>
      <c r="C124" s="10" t="s">
        <v>492</v>
      </c>
      <c r="D124" s="10" t="s">
        <v>506</v>
      </c>
      <c r="E124" s="10" t="s">
        <v>494</v>
      </c>
      <c r="F124" s="10" t="s">
        <v>150</v>
      </c>
      <c r="G124" s="10" t="s">
        <v>61</v>
      </c>
      <c r="H124" s="10" t="s">
        <v>507</v>
      </c>
      <c r="I124" s="10" t="s">
        <v>63</v>
      </c>
      <c r="J124" s="10" t="s">
        <v>362</v>
      </c>
      <c r="K124" s="10" t="s">
        <v>9</v>
      </c>
      <c r="L124" s="10" t="s">
        <v>65</v>
      </c>
      <c r="M124" s="10" t="s">
        <v>66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">
      <c r="A125" s="10" t="s">
        <v>508</v>
      </c>
      <c r="B125" s="10" t="s">
        <v>31</v>
      </c>
      <c r="C125" s="10" t="s">
        <v>492</v>
      </c>
      <c r="D125" s="10" t="s">
        <v>509</v>
      </c>
      <c r="E125" s="10" t="s">
        <v>494</v>
      </c>
      <c r="F125" s="10" t="s">
        <v>150</v>
      </c>
      <c r="G125" s="10" t="s">
        <v>244</v>
      </c>
      <c r="H125" s="10" t="s">
        <v>510</v>
      </c>
      <c r="I125" s="10" t="s">
        <v>246</v>
      </c>
      <c r="J125" s="10" t="s">
        <v>501</v>
      </c>
      <c r="K125" s="10" t="s">
        <v>12</v>
      </c>
      <c r="L125" s="10" t="s">
        <v>244</v>
      </c>
      <c r="M125" s="10" t="s">
        <v>66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">
      <c r="A126" s="10" t="s">
        <v>511</v>
      </c>
      <c r="B126" s="10" t="s">
        <v>31</v>
      </c>
      <c r="C126" s="10" t="s">
        <v>492</v>
      </c>
      <c r="D126" s="10" t="s">
        <v>512</v>
      </c>
      <c r="E126" s="10" t="s">
        <v>494</v>
      </c>
      <c r="F126" s="10" t="s">
        <v>150</v>
      </c>
      <c r="G126" s="10" t="s">
        <v>244</v>
      </c>
      <c r="H126" s="10" t="s">
        <v>513</v>
      </c>
      <c r="I126" s="10" t="s">
        <v>246</v>
      </c>
      <c r="J126" s="10" t="s">
        <v>501</v>
      </c>
      <c r="K126" s="10" t="s">
        <v>12</v>
      </c>
      <c r="L126" s="10" t="s">
        <v>244</v>
      </c>
      <c r="M126" s="10" t="s">
        <v>66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">
      <c r="A127" s="10" t="s">
        <v>514</v>
      </c>
      <c r="B127" s="10" t="s">
        <v>31</v>
      </c>
      <c r="C127" s="10" t="s">
        <v>492</v>
      </c>
      <c r="D127" s="10" t="s">
        <v>515</v>
      </c>
      <c r="E127" s="10" t="s">
        <v>494</v>
      </c>
      <c r="F127" s="10" t="s">
        <v>150</v>
      </c>
      <c r="G127" s="10" t="s">
        <v>244</v>
      </c>
      <c r="H127" s="10" t="s">
        <v>516</v>
      </c>
      <c r="I127" s="10" t="s">
        <v>246</v>
      </c>
      <c r="J127" s="10" t="s">
        <v>362</v>
      </c>
      <c r="K127" s="10" t="s">
        <v>12</v>
      </c>
      <c r="L127" s="10" t="s">
        <v>244</v>
      </c>
      <c r="M127" s="10" t="s">
        <v>66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">
      <c r="A128" s="10" t="s">
        <v>517</v>
      </c>
      <c r="B128" s="10" t="s">
        <v>31</v>
      </c>
      <c r="C128" s="10" t="s">
        <v>492</v>
      </c>
      <c r="D128" s="10" t="s">
        <v>518</v>
      </c>
      <c r="E128" s="10" t="s">
        <v>494</v>
      </c>
      <c r="F128" s="10" t="s">
        <v>150</v>
      </c>
      <c r="G128" s="10" t="s">
        <v>61</v>
      </c>
      <c r="H128" s="10" t="s">
        <v>519</v>
      </c>
      <c r="I128" s="10" t="s">
        <v>63</v>
      </c>
      <c r="J128" s="10" t="s">
        <v>64</v>
      </c>
      <c r="K128" s="10" t="s">
        <v>15</v>
      </c>
      <c r="L128" s="10" t="s">
        <v>65</v>
      </c>
      <c r="M128" s="10" t="s">
        <v>66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">
      <c r="A129" s="10" t="s">
        <v>520</v>
      </c>
      <c r="B129" s="10" t="s">
        <v>32</v>
      </c>
      <c r="C129" s="10" t="s">
        <v>521</v>
      </c>
      <c r="D129" s="10" t="s">
        <v>522</v>
      </c>
      <c r="E129" s="10" t="s">
        <v>523</v>
      </c>
      <c r="F129" s="10" t="s">
        <v>150</v>
      </c>
      <c r="G129" s="10" t="s">
        <v>101</v>
      </c>
      <c r="H129" s="10" t="s">
        <v>524</v>
      </c>
      <c r="I129" s="10" t="s">
        <v>103</v>
      </c>
      <c r="J129" s="10" t="s">
        <v>64</v>
      </c>
      <c r="K129" s="10" t="s">
        <v>9</v>
      </c>
      <c r="L129" s="10" t="s">
        <v>104</v>
      </c>
      <c r="M129" s="10" t="s">
        <v>66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">
      <c r="A130" s="10" t="s">
        <v>525</v>
      </c>
      <c r="B130" s="10" t="s">
        <v>32</v>
      </c>
      <c r="C130" s="10" t="s">
        <v>521</v>
      </c>
      <c r="D130" s="10" t="s">
        <v>526</v>
      </c>
      <c r="E130" s="10" t="s">
        <v>523</v>
      </c>
      <c r="F130" s="10" t="s">
        <v>150</v>
      </c>
      <c r="G130" s="10" t="s">
        <v>107</v>
      </c>
      <c r="H130" s="10" t="s">
        <v>527</v>
      </c>
      <c r="I130" s="10" t="s">
        <v>109</v>
      </c>
      <c r="J130" s="10" t="s">
        <v>64</v>
      </c>
      <c r="K130" s="10" t="s">
        <v>9</v>
      </c>
      <c r="L130" s="10" t="s">
        <v>110</v>
      </c>
      <c r="M130" s="10" t="s">
        <v>66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">
      <c r="A131" s="10" t="s">
        <v>528</v>
      </c>
      <c r="B131" s="10" t="s">
        <v>32</v>
      </c>
      <c r="C131" s="10" t="s">
        <v>521</v>
      </c>
      <c r="D131" s="10" t="s">
        <v>529</v>
      </c>
      <c r="E131" s="10" t="s">
        <v>523</v>
      </c>
      <c r="F131" s="10" t="s">
        <v>150</v>
      </c>
      <c r="G131" s="10" t="s">
        <v>113</v>
      </c>
      <c r="H131" s="10" t="s">
        <v>530</v>
      </c>
      <c r="I131" s="10" t="s">
        <v>115</v>
      </c>
      <c r="J131" s="10" t="s">
        <v>64</v>
      </c>
      <c r="K131" s="10" t="s">
        <v>9</v>
      </c>
      <c r="L131" s="10" t="s">
        <v>116</v>
      </c>
      <c r="M131" s="10" t="s">
        <v>66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">
      <c r="A132" s="10" t="s">
        <v>531</v>
      </c>
      <c r="B132" s="10" t="s">
        <v>32</v>
      </c>
      <c r="C132" s="10" t="s">
        <v>521</v>
      </c>
      <c r="D132" s="10" t="s">
        <v>532</v>
      </c>
      <c r="E132" s="10" t="s">
        <v>533</v>
      </c>
      <c r="F132" s="10" t="s">
        <v>198</v>
      </c>
      <c r="G132" s="10" t="s">
        <v>61</v>
      </c>
      <c r="H132" s="10" t="s">
        <v>534</v>
      </c>
      <c r="I132" s="10" t="s">
        <v>63</v>
      </c>
      <c r="J132" s="10" t="s">
        <v>270</v>
      </c>
      <c r="K132" s="10" t="s">
        <v>9</v>
      </c>
      <c r="L132" s="10" t="s">
        <v>65</v>
      </c>
      <c r="M132" s="10" t="s">
        <v>66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">
      <c r="A133" s="10" t="s">
        <v>535</v>
      </c>
      <c r="B133" s="10" t="s">
        <v>32</v>
      </c>
      <c r="C133" s="10" t="s">
        <v>521</v>
      </c>
      <c r="D133" s="10" t="s">
        <v>536</v>
      </c>
      <c r="E133" s="10" t="s">
        <v>533</v>
      </c>
      <c r="F133" s="10" t="s">
        <v>198</v>
      </c>
      <c r="G133" s="10" t="s">
        <v>61</v>
      </c>
      <c r="H133" s="10" t="s">
        <v>537</v>
      </c>
      <c r="I133" s="10" t="s">
        <v>63</v>
      </c>
      <c r="J133" s="10" t="s">
        <v>64</v>
      </c>
      <c r="K133" s="10" t="s">
        <v>9</v>
      </c>
      <c r="L133" s="10" t="s">
        <v>65</v>
      </c>
      <c r="M133" s="10" t="s">
        <v>66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">
      <c r="A134" s="10" t="s">
        <v>538</v>
      </c>
      <c r="B134" s="10" t="s">
        <v>32</v>
      </c>
      <c r="C134" s="10" t="s">
        <v>521</v>
      </c>
      <c r="D134" s="10" t="s">
        <v>539</v>
      </c>
      <c r="E134" s="10" t="s">
        <v>197</v>
      </c>
      <c r="F134" s="10" t="s">
        <v>198</v>
      </c>
      <c r="G134" s="10" t="s">
        <v>61</v>
      </c>
      <c r="H134" s="10" t="s">
        <v>540</v>
      </c>
      <c r="I134" s="10" t="s">
        <v>63</v>
      </c>
      <c r="J134" s="10" t="s">
        <v>64</v>
      </c>
      <c r="K134" s="10" t="s">
        <v>9</v>
      </c>
      <c r="L134" s="10" t="s">
        <v>65</v>
      </c>
      <c r="M134" s="10" t="s">
        <v>66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">
      <c r="A135" s="10" t="s">
        <v>541</v>
      </c>
      <c r="B135" s="10" t="s">
        <v>32</v>
      </c>
      <c r="C135" s="10" t="s">
        <v>521</v>
      </c>
      <c r="D135" s="10" t="s">
        <v>542</v>
      </c>
      <c r="E135" s="10" t="s">
        <v>523</v>
      </c>
      <c r="F135" s="10" t="s">
        <v>150</v>
      </c>
      <c r="G135" s="10" t="s">
        <v>101</v>
      </c>
      <c r="H135" s="10" t="s">
        <v>543</v>
      </c>
      <c r="I135" s="10" t="s">
        <v>103</v>
      </c>
      <c r="J135" s="10" t="s">
        <v>64</v>
      </c>
      <c r="K135" s="10" t="s">
        <v>12</v>
      </c>
      <c r="L135" s="10" t="s">
        <v>104</v>
      </c>
      <c r="M135" s="10" t="s">
        <v>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">
      <c r="A136" s="10" t="s">
        <v>544</v>
      </c>
      <c r="B136" s="10" t="s">
        <v>32</v>
      </c>
      <c r="C136" s="10" t="s">
        <v>521</v>
      </c>
      <c r="D136" s="10" t="s">
        <v>545</v>
      </c>
      <c r="E136" s="10" t="s">
        <v>523</v>
      </c>
      <c r="F136" s="10" t="s">
        <v>150</v>
      </c>
      <c r="G136" s="10" t="s">
        <v>107</v>
      </c>
      <c r="H136" s="10" t="s">
        <v>546</v>
      </c>
      <c r="I136" s="10" t="s">
        <v>109</v>
      </c>
      <c r="J136" s="10" t="s">
        <v>64</v>
      </c>
      <c r="K136" s="10" t="s">
        <v>12</v>
      </c>
      <c r="L136" s="10" t="s">
        <v>110</v>
      </c>
      <c r="M136" s="10" t="s">
        <v>66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">
      <c r="A137" s="10" t="s">
        <v>547</v>
      </c>
      <c r="B137" s="10" t="s">
        <v>32</v>
      </c>
      <c r="C137" s="10" t="s">
        <v>521</v>
      </c>
      <c r="D137" s="10" t="s">
        <v>548</v>
      </c>
      <c r="E137" s="10" t="s">
        <v>533</v>
      </c>
      <c r="F137" s="10" t="s">
        <v>198</v>
      </c>
      <c r="G137" s="10" t="s">
        <v>61</v>
      </c>
      <c r="H137" s="10" t="s">
        <v>549</v>
      </c>
      <c r="I137" s="10" t="s">
        <v>63</v>
      </c>
      <c r="J137" s="10" t="s">
        <v>64</v>
      </c>
      <c r="K137" s="10" t="s">
        <v>12</v>
      </c>
      <c r="L137" s="10" t="s">
        <v>65</v>
      </c>
      <c r="M137" s="10" t="s">
        <v>66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">
      <c r="A138" s="10" t="s">
        <v>550</v>
      </c>
      <c r="B138" s="10" t="s">
        <v>32</v>
      </c>
      <c r="C138" s="10" t="s">
        <v>521</v>
      </c>
      <c r="D138" s="10" t="s">
        <v>551</v>
      </c>
      <c r="E138" s="10" t="s">
        <v>197</v>
      </c>
      <c r="F138" s="10" t="s">
        <v>198</v>
      </c>
      <c r="G138" s="10" t="s">
        <v>61</v>
      </c>
      <c r="H138" s="10" t="s">
        <v>552</v>
      </c>
      <c r="I138" s="10" t="s">
        <v>63</v>
      </c>
      <c r="J138" s="10" t="s">
        <v>64</v>
      </c>
      <c r="K138" s="10" t="s">
        <v>15</v>
      </c>
      <c r="L138" s="10" t="s">
        <v>65</v>
      </c>
      <c r="M138" s="10" t="s">
        <v>66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">
      <c r="A139" s="10" t="s">
        <v>553</v>
      </c>
      <c r="B139" s="10" t="s">
        <v>33</v>
      </c>
      <c r="C139" s="10" t="s">
        <v>554</v>
      </c>
      <c r="D139" s="10" t="s">
        <v>555</v>
      </c>
      <c r="E139" s="10" t="s">
        <v>556</v>
      </c>
      <c r="F139" s="10" t="s">
        <v>150</v>
      </c>
      <c r="G139" s="10" t="s">
        <v>94</v>
      </c>
      <c r="H139" s="10" t="s">
        <v>557</v>
      </c>
      <c r="I139" s="10" t="s">
        <v>96</v>
      </c>
      <c r="J139" s="10" t="s">
        <v>97</v>
      </c>
      <c r="K139" s="10" t="s">
        <v>9</v>
      </c>
      <c r="L139" s="10" t="s">
        <v>98</v>
      </c>
      <c r="M139" s="10" t="s">
        <v>66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">
      <c r="A140" s="10" t="s">
        <v>558</v>
      </c>
      <c r="B140" s="10" t="s">
        <v>33</v>
      </c>
      <c r="C140" s="10" t="s">
        <v>554</v>
      </c>
      <c r="D140" s="10" t="s">
        <v>559</v>
      </c>
      <c r="E140" s="10" t="s">
        <v>556</v>
      </c>
      <c r="F140" s="10" t="s">
        <v>150</v>
      </c>
      <c r="G140" s="10" t="s">
        <v>61</v>
      </c>
      <c r="H140" s="10" t="s">
        <v>560</v>
      </c>
      <c r="I140" s="10" t="s">
        <v>63</v>
      </c>
      <c r="J140" s="10" t="s">
        <v>176</v>
      </c>
      <c r="K140" s="10" t="s">
        <v>9</v>
      </c>
      <c r="L140" s="10" t="s">
        <v>65</v>
      </c>
      <c r="M140" s="10" t="s">
        <v>66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">
      <c r="A141" s="10" t="s">
        <v>561</v>
      </c>
      <c r="B141" s="10" t="s">
        <v>33</v>
      </c>
      <c r="C141" s="10" t="s">
        <v>554</v>
      </c>
      <c r="D141" s="10" t="s">
        <v>562</v>
      </c>
      <c r="E141" s="10" t="s">
        <v>556</v>
      </c>
      <c r="F141" s="10" t="s">
        <v>150</v>
      </c>
      <c r="G141" s="10" t="s">
        <v>107</v>
      </c>
      <c r="H141" s="10" t="s">
        <v>563</v>
      </c>
      <c r="I141" s="10" t="s">
        <v>109</v>
      </c>
      <c r="J141" s="10" t="s">
        <v>176</v>
      </c>
      <c r="K141" s="10" t="s">
        <v>9</v>
      </c>
      <c r="L141" s="10" t="s">
        <v>110</v>
      </c>
      <c r="M141" s="10" t="s">
        <v>66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">
      <c r="A142" s="10" t="s">
        <v>564</v>
      </c>
      <c r="B142" s="10" t="s">
        <v>33</v>
      </c>
      <c r="C142" s="10" t="s">
        <v>554</v>
      </c>
      <c r="D142" s="10" t="s">
        <v>565</v>
      </c>
      <c r="E142" s="10" t="s">
        <v>556</v>
      </c>
      <c r="F142" s="10" t="s">
        <v>150</v>
      </c>
      <c r="G142" s="10" t="s">
        <v>244</v>
      </c>
      <c r="H142" s="10" t="s">
        <v>566</v>
      </c>
      <c r="I142" s="10" t="s">
        <v>246</v>
      </c>
      <c r="J142" s="10" t="s">
        <v>176</v>
      </c>
      <c r="K142" s="10" t="s">
        <v>9</v>
      </c>
      <c r="L142" s="10" t="s">
        <v>244</v>
      </c>
      <c r="M142" s="10" t="s">
        <v>66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">
      <c r="A143" s="10" t="s">
        <v>567</v>
      </c>
      <c r="B143" s="10" t="s">
        <v>33</v>
      </c>
      <c r="C143" s="10" t="s">
        <v>554</v>
      </c>
      <c r="D143" s="10" t="s">
        <v>568</v>
      </c>
      <c r="E143" s="10" t="s">
        <v>556</v>
      </c>
      <c r="F143" s="10" t="s">
        <v>150</v>
      </c>
      <c r="G143" s="10" t="s">
        <v>61</v>
      </c>
      <c r="H143" s="10" t="s">
        <v>569</v>
      </c>
      <c r="I143" s="10" t="s">
        <v>63</v>
      </c>
      <c r="J143" s="10" t="s">
        <v>393</v>
      </c>
      <c r="K143" s="10" t="s">
        <v>9</v>
      </c>
      <c r="L143" s="10" t="s">
        <v>65</v>
      </c>
      <c r="M143" s="10" t="s">
        <v>66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">
      <c r="A144" s="10" t="s">
        <v>570</v>
      </c>
      <c r="B144" s="10" t="s">
        <v>33</v>
      </c>
      <c r="C144" s="10" t="s">
        <v>554</v>
      </c>
      <c r="D144" s="10" t="s">
        <v>571</v>
      </c>
      <c r="E144" s="10" t="s">
        <v>556</v>
      </c>
      <c r="F144" s="10" t="s">
        <v>150</v>
      </c>
      <c r="G144" s="10" t="s">
        <v>61</v>
      </c>
      <c r="H144" s="10" t="s">
        <v>572</v>
      </c>
      <c r="I144" s="10" t="s">
        <v>63</v>
      </c>
      <c r="J144" s="10" t="s">
        <v>64</v>
      </c>
      <c r="K144" s="10" t="s">
        <v>9</v>
      </c>
      <c r="L144" s="10" t="s">
        <v>65</v>
      </c>
      <c r="M144" s="10" t="s">
        <v>66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">
      <c r="A145" s="10" t="s">
        <v>573</v>
      </c>
      <c r="B145" s="10" t="s">
        <v>33</v>
      </c>
      <c r="C145" s="10" t="s">
        <v>554</v>
      </c>
      <c r="D145" s="10" t="s">
        <v>574</v>
      </c>
      <c r="E145" s="10" t="s">
        <v>556</v>
      </c>
      <c r="F145" s="10" t="s">
        <v>150</v>
      </c>
      <c r="G145" s="10" t="s">
        <v>61</v>
      </c>
      <c r="H145" s="10" t="s">
        <v>575</v>
      </c>
      <c r="I145" s="10" t="s">
        <v>63</v>
      </c>
      <c r="J145" s="10" t="s">
        <v>64</v>
      </c>
      <c r="K145" s="10" t="s">
        <v>9</v>
      </c>
      <c r="L145" s="10" t="s">
        <v>65</v>
      </c>
      <c r="M145" s="10" t="s">
        <v>66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">
      <c r="A146" s="10" t="s">
        <v>576</v>
      </c>
      <c r="B146" s="10" t="s">
        <v>33</v>
      </c>
      <c r="C146" s="10" t="s">
        <v>554</v>
      </c>
      <c r="D146" s="10" t="s">
        <v>577</v>
      </c>
      <c r="E146" s="10" t="s">
        <v>578</v>
      </c>
      <c r="F146" s="10" t="s">
        <v>150</v>
      </c>
      <c r="G146" s="10" t="s">
        <v>107</v>
      </c>
      <c r="H146" s="10" t="s">
        <v>579</v>
      </c>
      <c r="I146" s="10" t="s">
        <v>63</v>
      </c>
      <c r="J146" s="10" t="s">
        <v>176</v>
      </c>
      <c r="K146" s="10" t="s">
        <v>9</v>
      </c>
      <c r="L146" s="10" t="s">
        <v>110</v>
      </c>
      <c r="M146" s="10" t="s">
        <v>66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">
      <c r="A147" s="10" t="s">
        <v>580</v>
      </c>
      <c r="B147" s="10" t="s">
        <v>33</v>
      </c>
      <c r="C147" s="10" t="s">
        <v>554</v>
      </c>
      <c r="D147" s="10" t="s">
        <v>581</v>
      </c>
      <c r="E147" s="10" t="s">
        <v>578</v>
      </c>
      <c r="F147" s="10" t="s">
        <v>150</v>
      </c>
      <c r="G147" s="10" t="s">
        <v>61</v>
      </c>
      <c r="H147" s="10" t="s">
        <v>582</v>
      </c>
      <c r="I147" s="10" t="s">
        <v>63</v>
      </c>
      <c r="J147" s="10" t="s">
        <v>176</v>
      </c>
      <c r="K147" s="10" t="s">
        <v>12</v>
      </c>
      <c r="L147" s="10" t="s">
        <v>65</v>
      </c>
      <c r="M147" s="10" t="s">
        <v>66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">
      <c r="A148" s="10" t="s">
        <v>583</v>
      </c>
      <c r="B148" s="10" t="s">
        <v>33</v>
      </c>
      <c r="C148" s="10" t="s">
        <v>554</v>
      </c>
      <c r="D148" s="10" t="s">
        <v>584</v>
      </c>
      <c r="E148" s="10" t="s">
        <v>578</v>
      </c>
      <c r="F148" s="10" t="s">
        <v>150</v>
      </c>
      <c r="G148" s="10" t="s">
        <v>61</v>
      </c>
      <c r="H148" s="10" t="s">
        <v>585</v>
      </c>
      <c r="I148" s="10" t="s">
        <v>586</v>
      </c>
      <c r="J148" s="10" t="s">
        <v>176</v>
      </c>
      <c r="K148" s="10" t="s">
        <v>12</v>
      </c>
      <c r="L148" s="10" t="s">
        <v>65</v>
      </c>
      <c r="M148" s="10" t="s">
        <v>66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">
      <c r="A149" s="10" t="s">
        <v>587</v>
      </c>
      <c r="B149" s="10" t="s">
        <v>33</v>
      </c>
      <c r="C149" s="10" t="s">
        <v>554</v>
      </c>
      <c r="D149" s="10" t="s">
        <v>588</v>
      </c>
      <c r="E149" s="10" t="s">
        <v>578</v>
      </c>
      <c r="F149" s="10" t="s">
        <v>150</v>
      </c>
      <c r="G149" s="10" t="s">
        <v>61</v>
      </c>
      <c r="H149" s="10" t="s">
        <v>589</v>
      </c>
      <c r="I149" s="10" t="s">
        <v>83</v>
      </c>
      <c r="J149" s="10" t="s">
        <v>176</v>
      </c>
      <c r="K149" s="10" t="s">
        <v>12</v>
      </c>
      <c r="L149" s="10" t="s">
        <v>65</v>
      </c>
      <c r="M149" s="10" t="s">
        <v>66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">
      <c r="A150" s="10" t="s">
        <v>590</v>
      </c>
      <c r="B150" s="10" t="s">
        <v>33</v>
      </c>
      <c r="C150" s="10" t="s">
        <v>554</v>
      </c>
      <c r="D150" s="10" t="s">
        <v>591</v>
      </c>
      <c r="E150" s="10" t="s">
        <v>556</v>
      </c>
      <c r="F150" s="10" t="s">
        <v>150</v>
      </c>
      <c r="G150" s="10" t="s">
        <v>107</v>
      </c>
      <c r="H150" s="10" t="s">
        <v>592</v>
      </c>
      <c r="I150" s="10" t="s">
        <v>109</v>
      </c>
      <c r="J150" s="10" t="s">
        <v>176</v>
      </c>
      <c r="K150" s="10" t="s">
        <v>12</v>
      </c>
      <c r="L150" s="10" t="s">
        <v>110</v>
      </c>
      <c r="M150" s="10" t="s">
        <v>66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">
      <c r="A151" s="10" t="s">
        <v>593</v>
      </c>
      <c r="B151" s="10" t="s">
        <v>33</v>
      </c>
      <c r="C151" s="10" t="s">
        <v>554</v>
      </c>
      <c r="D151" s="10" t="s">
        <v>594</v>
      </c>
      <c r="E151" s="10" t="s">
        <v>595</v>
      </c>
      <c r="F151" s="10" t="s">
        <v>150</v>
      </c>
      <c r="G151" s="10" t="s">
        <v>113</v>
      </c>
      <c r="H151" s="10" t="s">
        <v>596</v>
      </c>
      <c r="I151" s="10" t="s">
        <v>83</v>
      </c>
      <c r="J151" s="10" t="s">
        <v>176</v>
      </c>
      <c r="K151" s="10" t="s">
        <v>15</v>
      </c>
      <c r="L151" s="10" t="s">
        <v>116</v>
      </c>
      <c r="M151" s="10" t="s">
        <v>66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">
      <c r="A152" s="10" t="s">
        <v>597</v>
      </c>
      <c r="B152" s="10" t="s">
        <v>33</v>
      </c>
      <c r="C152" s="10" t="s">
        <v>554</v>
      </c>
      <c r="D152" s="10" t="s">
        <v>598</v>
      </c>
      <c r="E152" s="10" t="s">
        <v>599</v>
      </c>
      <c r="F152" s="10" t="s">
        <v>150</v>
      </c>
      <c r="G152" s="10" t="s">
        <v>113</v>
      </c>
      <c r="H152" s="10" t="s">
        <v>600</v>
      </c>
      <c r="I152" s="10" t="s">
        <v>63</v>
      </c>
      <c r="J152" s="10" t="s">
        <v>270</v>
      </c>
      <c r="K152" s="10" t="s">
        <v>15</v>
      </c>
      <c r="L152" s="10" t="s">
        <v>116</v>
      </c>
      <c r="M152" s="10" t="s">
        <v>66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">
      <c r="A153" s="10" t="s">
        <v>601</v>
      </c>
      <c r="B153" s="10" t="s">
        <v>33</v>
      </c>
      <c r="C153" s="10" t="s">
        <v>554</v>
      </c>
      <c r="D153" s="10" t="s">
        <v>602</v>
      </c>
      <c r="E153" s="10" t="s">
        <v>599</v>
      </c>
      <c r="F153" s="10" t="s">
        <v>150</v>
      </c>
      <c r="G153" s="10" t="s">
        <v>113</v>
      </c>
      <c r="H153" s="10" t="s">
        <v>603</v>
      </c>
      <c r="I153" s="10" t="s">
        <v>96</v>
      </c>
      <c r="J153" s="10" t="s">
        <v>176</v>
      </c>
      <c r="K153" s="10" t="s">
        <v>15</v>
      </c>
      <c r="L153" s="10" t="s">
        <v>116</v>
      </c>
      <c r="M153" s="10" t="s">
        <v>66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">
      <c r="A154" s="10" t="s">
        <v>604</v>
      </c>
      <c r="B154" s="10" t="s">
        <v>33</v>
      </c>
      <c r="C154" s="10" t="s">
        <v>554</v>
      </c>
      <c r="D154" s="10" t="s">
        <v>605</v>
      </c>
      <c r="E154" s="10" t="s">
        <v>595</v>
      </c>
      <c r="F154" s="10" t="s">
        <v>150</v>
      </c>
      <c r="G154" s="10" t="s">
        <v>61</v>
      </c>
      <c r="H154" s="10" t="s">
        <v>606</v>
      </c>
      <c r="I154" s="10" t="s">
        <v>83</v>
      </c>
      <c r="J154" s="10" t="s">
        <v>64</v>
      </c>
      <c r="K154" s="10" t="s">
        <v>15</v>
      </c>
      <c r="L154" s="10" t="s">
        <v>65</v>
      </c>
      <c r="M154" s="10" t="s">
        <v>66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">
      <c r="A155" s="10" t="s">
        <v>607</v>
      </c>
      <c r="B155" s="10" t="s">
        <v>34</v>
      </c>
      <c r="C155" s="10" t="s">
        <v>608</v>
      </c>
      <c r="D155" s="10" t="s">
        <v>609</v>
      </c>
      <c r="E155" s="10" t="s">
        <v>610</v>
      </c>
      <c r="F155" s="10" t="s">
        <v>150</v>
      </c>
      <c r="G155" s="10" t="s">
        <v>94</v>
      </c>
      <c r="H155" s="10" t="s">
        <v>611</v>
      </c>
      <c r="I155" s="10" t="s">
        <v>96</v>
      </c>
      <c r="J155" s="10" t="s">
        <v>97</v>
      </c>
      <c r="K155" s="10" t="s">
        <v>9</v>
      </c>
      <c r="L155" s="10" t="s">
        <v>98</v>
      </c>
      <c r="M155" s="10" t="s">
        <v>66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">
      <c r="A156" s="10" t="s">
        <v>612</v>
      </c>
      <c r="B156" s="10" t="s">
        <v>34</v>
      </c>
      <c r="C156" s="10" t="s">
        <v>608</v>
      </c>
      <c r="D156" s="10" t="s">
        <v>613</v>
      </c>
      <c r="E156" s="10" t="s">
        <v>610</v>
      </c>
      <c r="F156" s="10" t="s">
        <v>150</v>
      </c>
      <c r="G156" s="10" t="s">
        <v>61</v>
      </c>
      <c r="H156" s="10" t="s">
        <v>614</v>
      </c>
      <c r="I156" s="10" t="s">
        <v>63</v>
      </c>
      <c r="J156" s="10" t="s">
        <v>615</v>
      </c>
      <c r="K156" s="10" t="s">
        <v>9</v>
      </c>
      <c r="L156" s="10" t="s">
        <v>65</v>
      </c>
      <c r="M156" s="10" t="s">
        <v>66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">
      <c r="A157" s="10" t="s">
        <v>616</v>
      </c>
      <c r="B157" s="10" t="s">
        <v>34</v>
      </c>
      <c r="C157" s="10" t="s">
        <v>608</v>
      </c>
      <c r="D157" s="10" t="s">
        <v>617</v>
      </c>
      <c r="E157" s="10" t="s">
        <v>610</v>
      </c>
      <c r="F157" s="10" t="s">
        <v>150</v>
      </c>
      <c r="G157" s="10" t="s">
        <v>107</v>
      </c>
      <c r="H157" s="10" t="s">
        <v>618</v>
      </c>
      <c r="I157" s="10" t="s">
        <v>436</v>
      </c>
      <c r="J157" s="10" t="s">
        <v>615</v>
      </c>
      <c r="K157" s="10" t="s">
        <v>9</v>
      </c>
      <c r="L157" s="10" t="s">
        <v>110</v>
      </c>
      <c r="M157" s="10" t="s">
        <v>66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">
      <c r="A158" s="10" t="s">
        <v>619</v>
      </c>
      <c r="B158" s="10" t="s">
        <v>34</v>
      </c>
      <c r="C158" s="10" t="s">
        <v>608</v>
      </c>
      <c r="D158" s="10" t="s">
        <v>620</v>
      </c>
      <c r="E158" s="10" t="s">
        <v>610</v>
      </c>
      <c r="F158" s="10" t="s">
        <v>150</v>
      </c>
      <c r="G158" s="10" t="s">
        <v>61</v>
      </c>
      <c r="H158" s="10" t="s">
        <v>621</v>
      </c>
      <c r="I158" s="10" t="s">
        <v>63</v>
      </c>
      <c r="J158" s="10" t="s">
        <v>270</v>
      </c>
      <c r="K158" s="10" t="s">
        <v>9</v>
      </c>
      <c r="L158" s="10" t="s">
        <v>65</v>
      </c>
      <c r="M158" s="10" t="s">
        <v>66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">
      <c r="A159" s="10" t="s">
        <v>622</v>
      </c>
      <c r="B159" s="10" t="s">
        <v>34</v>
      </c>
      <c r="C159" s="10" t="s">
        <v>608</v>
      </c>
      <c r="D159" s="10" t="s">
        <v>623</v>
      </c>
      <c r="E159" s="10" t="s">
        <v>624</v>
      </c>
      <c r="F159" s="10" t="s">
        <v>150</v>
      </c>
      <c r="G159" s="10" t="s">
        <v>107</v>
      </c>
      <c r="H159" s="10" t="s">
        <v>625</v>
      </c>
      <c r="I159" s="10" t="s">
        <v>353</v>
      </c>
      <c r="J159" s="10" t="s">
        <v>615</v>
      </c>
      <c r="K159" s="10" t="s">
        <v>9</v>
      </c>
      <c r="L159" s="10" t="s">
        <v>110</v>
      </c>
      <c r="M159" s="10" t="s">
        <v>66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">
      <c r="A160" s="10" t="s">
        <v>626</v>
      </c>
      <c r="B160" s="10" t="s">
        <v>34</v>
      </c>
      <c r="C160" s="10" t="s">
        <v>608</v>
      </c>
      <c r="D160" s="10" t="s">
        <v>627</v>
      </c>
      <c r="E160" s="10" t="s">
        <v>628</v>
      </c>
      <c r="F160" s="10" t="s">
        <v>150</v>
      </c>
      <c r="G160" s="10" t="s">
        <v>61</v>
      </c>
      <c r="H160" s="10" t="s">
        <v>629</v>
      </c>
      <c r="I160" s="10" t="s">
        <v>353</v>
      </c>
      <c r="J160" s="10" t="s">
        <v>615</v>
      </c>
      <c r="K160" s="10" t="s">
        <v>9</v>
      </c>
      <c r="L160" s="10" t="s">
        <v>65</v>
      </c>
      <c r="M160" s="10" t="s">
        <v>66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">
      <c r="A161" s="10" t="s">
        <v>630</v>
      </c>
      <c r="B161" s="10" t="s">
        <v>34</v>
      </c>
      <c r="C161" s="10" t="s">
        <v>608</v>
      </c>
      <c r="D161" s="10" t="s">
        <v>631</v>
      </c>
      <c r="E161" s="10" t="s">
        <v>628</v>
      </c>
      <c r="F161" s="10" t="s">
        <v>150</v>
      </c>
      <c r="G161" s="10" t="s">
        <v>113</v>
      </c>
      <c r="H161" s="10" t="s">
        <v>632</v>
      </c>
      <c r="I161" s="10" t="s">
        <v>353</v>
      </c>
      <c r="J161" s="10" t="s">
        <v>615</v>
      </c>
      <c r="K161" s="10" t="s">
        <v>9</v>
      </c>
      <c r="L161" s="10" t="s">
        <v>116</v>
      </c>
      <c r="M161" s="10" t="s">
        <v>66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">
      <c r="A162" s="10" t="s">
        <v>633</v>
      </c>
      <c r="B162" s="10" t="s">
        <v>34</v>
      </c>
      <c r="C162" s="10" t="s">
        <v>608</v>
      </c>
      <c r="D162" s="10" t="s">
        <v>634</v>
      </c>
      <c r="E162" s="10" t="s">
        <v>624</v>
      </c>
      <c r="F162" s="10" t="s">
        <v>150</v>
      </c>
      <c r="G162" s="10" t="s">
        <v>113</v>
      </c>
      <c r="H162" s="10" t="s">
        <v>635</v>
      </c>
      <c r="I162" s="10" t="s">
        <v>115</v>
      </c>
      <c r="J162" s="10" t="s">
        <v>270</v>
      </c>
      <c r="K162" s="10" t="s">
        <v>9</v>
      </c>
      <c r="L162" s="10" t="s">
        <v>116</v>
      </c>
      <c r="M162" s="10" t="s">
        <v>66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">
      <c r="A163" s="10" t="s">
        <v>636</v>
      </c>
      <c r="B163" s="10" t="s">
        <v>34</v>
      </c>
      <c r="C163" s="10" t="s">
        <v>608</v>
      </c>
      <c r="D163" s="10" t="s">
        <v>637</v>
      </c>
      <c r="E163" s="10" t="s">
        <v>624</v>
      </c>
      <c r="F163" s="10" t="s">
        <v>150</v>
      </c>
      <c r="G163" s="10" t="s">
        <v>61</v>
      </c>
      <c r="H163" s="10" t="s">
        <v>638</v>
      </c>
      <c r="I163" s="10" t="s">
        <v>63</v>
      </c>
      <c r="J163" s="10" t="s">
        <v>64</v>
      </c>
      <c r="K163" s="10" t="s">
        <v>12</v>
      </c>
      <c r="L163" s="10" t="s">
        <v>65</v>
      </c>
      <c r="M163" s="10" t="s">
        <v>66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">
      <c r="A164" s="10" t="s">
        <v>639</v>
      </c>
      <c r="B164" s="10" t="s">
        <v>34</v>
      </c>
      <c r="C164" s="10" t="s">
        <v>608</v>
      </c>
      <c r="D164" s="10" t="s">
        <v>640</v>
      </c>
      <c r="E164" s="10" t="s">
        <v>610</v>
      </c>
      <c r="F164" s="10" t="s">
        <v>150</v>
      </c>
      <c r="G164" s="10" t="s">
        <v>61</v>
      </c>
      <c r="H164" s="10" t="s">
        <v>641</v>
      </c>
      <c r="I164" s="10" t="s">
        <v>63</v>
      </c>
      <c r="J164" s="10" t="s">
        <v>64</v>
      </c>
      <c r="K164" s="10" t="s">
        <v>12</v>
      </c>
      <c r="L164" s="10" t="s">
        <v>65</v>
      </c>
      <c r="M164" s="10" t="s">
        <v>66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">
      <c r="A165" s="10" t="s">
        <v>642</v>
      </c>
      <c r="B165" s="10" t="s">
        <v>34</v>
      </c>
      <c r="C165" s="10" t="s">
        <v>608</v>
      </c>
      <c r="D165" s="10" t="s">
        <v>643</v>
      </c>
      <c r="E165" s="10" t="s">
        <v>610</v>
      </c>
      <c r="F165" s="10" t="s">
        <v>150</v>
      </c>
      <c r="G165" s="10" t="s">
        <v>61</v>
      </c>
      <c r="H165" s="10" t="s">
        <v>644</v>
      </c>
      <c r="I165" s="10" t="s">
        <v>63</v>
      </c>
      <c r="J165" s="10" t="s">
        <v>64</v>
      </c>
      <c r="K165" s="10" t="s">
        <v>12</v>
      </c>
      <c r="L165" s="10" t="s">
        <v>65</v>
      </c>
      <c r="M165" s="10" t="s">
        <v>66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">
      <c r="A166" s="10" t="s">
        <v>645</v>
      </c>
      <c r="B166" s="10" t="s">
        <v>34</v>
      </c>
      <c r="C166" s="10" t="s">
        <v>608</v>
      </c>
      <c r="D166" s="10" t="s">
        <v>646</v>
      </c>
      <c r="E166" s="10" t="s">
        <v>610</v>
      </c>
      <c r="F166" s="10" t="s">
        <v>150</v>
      </c>
      <c r="G166" s="10" t="s">
        <v>61</v>
      </c>
      <c r="H166" s="10" t="s">
        <v>647</v>
      </c>
      <c r="I166" s="10" t="s">
        <v>353</v>
      </c>
      <c r="J166" s="10" t="s">
        <v>64</v>
      </c>
      <c r="K166" s="10" t="s">
        <v>12</v>
      </c>
      <c r="L166" s="10" t="s">
        <v>65</v>
      </c>
      <c r="M166" s="10" t="s">
        <v>66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">
      <c r="A167" s="10" t="s">
        <v>648</v>
      </c>
      <c r="B167" s="10" t="s">
        <v>34</v>
      </c>
      <c r="C167" s="10" t="s">
        <v>649</v>
      </c>
      <c r="D167" s="10" t="s">
        <v>650</v>
      </c>
      <c r="E167" s="10" t="s">
        <v>610</v>
      </c>
      <c r="F167" s="10" t="s">
        <v>150</v>
      </c>
      <c r="G167" s="10" t="s">
        <v>61</v>
      </c>
      <c r="H167" s="10" t="s">
        <v>651</v>
      </c>
      <c r="I167" s="10" t="s">
        <v>63</v>
      </c>
      <c r="J167" s="10" t="s">
        <v>615</v>
      </c>
      <c r="K167" s="10" t="s">
        <v>15</v>
      </c>
      <c r="L167" s="10" t="s">
        <v>65</v>
      </c>
      <c r="M167" s="10" t="s">
        <v>66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">
      <c r="A168" s="10" t="s">
        <v>652</v>
      </c>
      <c r="B168" s="10" t="s">
        <v>34</v>
      </c>
      <c r="C168" s="10" t="s">
        <v>649</v>
      </c>
      <c r="D168" s="10" t="s">
        <v>653</v>
      </c>
      <c r="E168" s="10" t="s">
        <v>610</v>
      </c>
      <c r="F168" s="10" t="s">
        <v>150</v>
      </c>
      <c r="G168" s="10" t="s">
        <v>61</v>
      </c>
      <c r="H168" s="10" t="s">
        <v>654</v>
      </c>
      <c r="I168" s="10" t="s">
        <v>63</v>
      </c>
      <c r="J168" s="10" t="s">
        <v>615</v>
      </c>
      <c r="K168" s="10" t="s">
        <v>15</v>
      </c>
      <c r="L168" s="10" t="s">
        <v>65</v>
      </c>
      <c r="M168" s="10" t="s">
        <v>66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">
      <c r="A169" s="10" t="s">
        <v>655</v>
      </c>
      <c r="B169" s="10" t="s">
        <v>34</v>
      </c>
      <c r="C169" s="10" t="s">
        <v>649</v>
      </c>
      <c r="D169" s="10" t="s">
        <v>656</v>
      </c>
      <c r="E169" s="10" t="s">
        <v>610</v>
      </c>
      <c r="F169" s="10" t="s">
        <v>150</v>
      </c>
      <c r="G169" s="10" t="s">
        <v>61</v>
      </c>
      <c r="H169" s="10" t="s">
        <v>657</v>
      </c>
      <c r="I169" s="10" t="s">
        <v>63</v>
      </c>
      <c r="J169" s="10" t="s">
        <v>64</v>
      </c>
      <c r="K169" s="10" t="s">
        <v>15</v>
      </c>
      <c r="L169" s="10" t="s">
        <v>65</v>
      </c>
      <c r="M169" s="10" t="s">
        <v>66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">
      <c r="A170" s="10" t="s">
        <v>658</v>
      </c>
      <c r="B170" s="10" t="s">
        <v>34</v>
      </c>
      <c r="C170" s="10" t="s">
        <v>608</v>
      </c>
      <c r="D170" s="10" t="s">
        <v>659</v>
      </c>
      <c r="E170" s="10" t="s">
        <v>610</v>
      </c>
      <c r="F170" s="10" t="s">
        <v>150</v>
      </c>
      <c r="G170" s="10" t="s">
        <v>61</v>
      </c>
      <c r="H170" s="10" t="s">
        <v>660</v>
      </c>
      <c r="I170" s="10" t="s">
        <v>353</v>
      </c>
      <c r="J170" s="10" t="s">
        <v>615</v>
      </c>
      <c r="K170" s="10" t="s">
        <v>15</v>
      </c>
      <c r="L170" s="10" t="s">
        <v>65</v>
      </c>
      <c r="M170" s="10" t="s">
        <v>66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">
      <c r="A171" s="10" t="s">
        <v>661</v>
      </c>
      <c r="B171" s="10" t="s">
        <v>34</v>
      </c>
      <c r="C171" s="10" t="s">
        <v>649</v>
      </c>
      <c r="D171" s="10" t="s">
        <v>662</v>
      </c>
      <c r="E171" s="10" t="s">
        <v>610</v>
      </c>
      <c r="F171" s="10" t="s">
        <v>150</v>
      </c>
      <c r="G171" s="10" t="s">
        <v>61</v>
      </c>
      <c r="H171" s="10" t="s">
        <v>663</v>
      </c>
      <c r="I171" s="10" t="s">
        <v>63</v>
      </c>
      <c r="J171" s="10" t="s">
        <v>664</v>
      </c>
      <c r="K171" s="10" t="s">
        <v>15</v>
      </c>
      <c r="L171" s="10" t="s">
        <v>65</v>
      </c>
      <c r="M171" s="10" t="s">
        <v>66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">
      <c r="A172" s="10" t="s">
        <v>665</v>
      </c>
      <c r="B172" s="10" t="s">
        <v>34</v>
      </c>
      <c r="C172" s="10" t="s">
        <v>649</v>
      </c>
      <c r="D172" s="10" t="s">
        <v>666</v>
      </c>
      <c r="E172" s="10" t="s">
        <v>610</v>
      </c>
      <c r="F172" s="10" t="s">
        <v>150</v>
      </c>
      <c r="G172" s="10" t="s">
        <v>125</v>
      </c>
      <c r="H172" s="10" t="s">
        <v>667</v>
      </c>
      <c r="I172" s="10" t="s">
        <v>96</v>
      </c>
      <c r="J172" s="10" t="s">
        <v>615</v>
      </c>
      <c r="K172" s="10" t="s">
        <v>15</v>
      </c>
      <c r="L172" s="10" t="s">
        <v>127</v>
      </c>
      <c r="M172" s="10" t="s">
        <v>66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">
      <c r="A173" s="10" t="s">
        <v>668</v>
      </c>
      <c r="B173" s="10" t="s">
        <v>35</v>
      </c>
      <c r="C173" s="10" t="s">
        <v>213</v>
      </c>
      <c r="D173" s="10" t="s">
        <v>669</v>
      </c>
      <c r="E173" s="10" t="s">
        <v>670</v>
      </c>
      <c r="F173" s="10" t="s">
        <v>150</v>
      </c>
      <c r="G173" s="10" t="s">
        <v>61</v>
      </c>
      <c r="H173" s="10" t="s">
        <v>671</v>
      </c>
      <c r="I173" s="10" t="s">
        <v>63</v>
      </c>
      <c r="J173" s="10" t="s">
        <v>64</v>
      </c>
      <c r="K173" s="10" t="s">
        <v>12</v>
      </c>
      <c r="L173" s="10" t="s">
        <v>65</v>
      </c>
      <c r="M173" s="10" t="s">
        <v>66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">
      <c r="A174" s="10" t="s">
        <v>672</v>
      </c>
      <c r="B174" s="10" t="s">
        <v>35</v>
      </c>
      <c r="C174" s="10" t="s">
        <v>213</v>
      </c>
      <c r="D174" s="10" t="s">
        <v>673</v>
      </c>
      <c r="E174" s="10" t="s">
        <v>670</v>
      </c>
      <c r="F174" s="10" t="s">
        <v>150</v>
      </c>
      <c r="G174" s="10" t="s">
        <v>101</v>
      </c>
      <c r="H174" s="10" t="s">
        <v>674</v>
      </c>
      <c r="I174" s="10" t="s">
        <v>103</v>
      </c>
      <c r="J174" s="10" t="s">
        <v>64</v>
      </c>
      <c r="K174" s="10" t="s">
        <v>12</v>
      </c>
      <c r="L174" s="10" t="s">
        <v>104</v>
      </c>
      <c r="M174" s="10" t="s">
        <v>66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">
      <c r="A175" s="10" t="s">
        <v>675</v>
      </c>
      <c r="B175" s="10" t="s">
        <v>35</v>
      </c>
      <c r="C175" s="10" t="s">
        <v>213</v>
      </c>
      <c r="D175" s="10" t="s">
        <v>676</v>
      </c>
      <c r="E175" s="10" t="s">
        <v>670</v>
      </c>
      <c r="F175" s="10" t="s">
        <v>150</v>
      </c>
      <c r="G175" s="10" t="s">
        <v>101</v>
      </c>
      <c r="H175" s="10" t="s">
        <v>677</v>
      </c>
      <c r="I175" s="10" t="s">
        <v>103</v>
      </c>
      <c r="J175" s="10" t="s">
        <v>235</v>
      </c>
      <c r="K175" s="10" t="s">
        <v>12</v>
      </c>
      <c r="L175" s="10" t="s">
        <v>104</v>
      </c>
      <c r="M175" s="10" t="s">
        <v>66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">
      <c r="A176" s="10" t="s">
        <v>678</v>
      </c>
      <c r="B176" s="10" t="s">
        <v>35</v>
      </c>
      <c r="C176" s="10" t="s">
        <v>213</v>
      </c>
      <c r="D176" s="10" t="s">
        <v>679</v>
      </c>
      <c r="E176" s="10" t="s">
        <v>670</v>
      </c>
      <c r="F176" s="10" t="s">
        <v>150</v>
      </c>
      <c r="G176" s="10" t="s">
        <v>113</v>
      </c>
      <c r="H176" s="10" t="s">
        <v>680</v>
      </c>
      <c r="I176" s="10" t="s">
        <v>115</v>
      </c>
      <c r="J176" s="10" t="s">
        <v>64</v>
      </c>
      <c r="K176" s="10" t="s">
        <v>12</v>
      </c>
      <c r="L176" s="10" t="s">
        <v>116</v>
      </c>
      <c r="M176" s="10" t="s">
        <v>66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">
      <c r="A177" s="10" t="s">
        <v>681</v>
      </c>
      <c r="B177" s="10" t="s">
        <v>35</v>
      </c>
      <c r="C177" s="10" t="s">
        <v>213</v>
      </c>
      <c r="D177" s="10" t="s">
        <v>682</v>
      </c>
      <c r="E177" s="10" t="s">
        <v>670</v>
      </c>
      <c r="F177" s="10" t="s">
        <v>150</v>
      </c>
      <c r="G177" s="10" t="s">
        <v>244</v>
      </c>
      <c r="H177" s="10" t="s">
        <v>683</v>
      </c>
      <c r="I177" s="10" t="s">
        <v>246</v>
      </c>
      <c r="J177" s="10" t="s">
        <v>501</v>
      </c>
      <c r="K177" s="10" t="s">
        <v>12</v>
      </c>
      <c r="L177" s="10" t="s">
        <v>244</v>
      </c>
      <c r="M177" s="10" t="s">
        <v>66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">
      <c r="A178" s="10" t="s">
        <v>684</v>
      </c>
      <c r="B178" s="10" t="s">
        <v>35</v>
      </c>
      <c r="C178" s="10" t="s">
        <v>213</v>
      </c>
      <c r="D178" s="10" t="s">
        <v>685</v>
      </c>
      <c r="E178" s="10" t="s">
        <v>670</v>
      </c>
      <c r="F178" s="10" t="s">
        <v>150</v>
      </c>
      <c r="G178" s="10" t="s">
        <v>61</v>
      </c>
      <c r="H178" s="10" t="s">
        <v>686</v>
      </c>
      <c r="I178" s="10" t="s">
        <v>63</v>
      </c>
      <c r="J178" s="10" t="s">
        <v>64</v>
      </c>
      <c r="K178" s="10" t="s">
        <v>12</v>
      </c>
      <c r="L178" s="10" t="s">
        <v>65</v>
      </c>
      <c r="M178" s="10" t="s">
        <v>66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">
      <c r="A179" s="10" t="s">
        <v>687</v>
      </c>
      <c r="B179" s="10" t="s">
        <v>35</v>
      </c>
      <c r="C179" s="10" t="s">
        <v>213</v>
      </c>
      <c r="D179" s="10" t="s">
        <v>688</v>
      </c>
      <c r="E179" s="10" t="s">
        <v>670</v>
      </c>
      <c r="F179" s="10" t="s">
        <v>150</v>
      </c>
      <c r="G179" s="10" t="s">
        <v>101</v>
      </c>
      <c r="H179" s="10" t="s">
        <v>689</v>
      </c>
      <c r="I179" s="10" t="s">
        <v>103</v>
      </c>
      <c r="J179" s="10" t="s">
        <v>362</v>
      </c>
      <c r="K179" s="10" t="s">
        <v>12</v>
      </c>
      <c r="L179" s="10" t="s">
        <v>104</v>
      </c>
      <c r="M179" s="10" t="s">
        <v>66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">
      <c r="A180" s="10" t="s">
        <v>690</v>
      </c>
      <c r="B180" s="10" t="s">
        <v>35</v>
      </c>
      <c r="C180" s="10" t="s">
        <v>213</v>
      </c>
      <c r="D180" s="10" t="s">
        <v>691</v>
      </c>
      <c r="E180" s="10" t="s">
        <v>670</v>
      </c>
      <c r="F180" s="10" t="s">
        <v>150</v>
      </c>
      <c r="G180" s="10" t="s">
        <v>61</v>
      </c>
      <c r="H180" s="10" t="s">
        <v>692</v>
      </c>
      <c r="I180" s="10" t="s">
        <v>63</v>
      </c>
      <c r="J180" s="10" t="s">
        <v>362</v>
      </c>
      <c r="K180" s="10" t="s">
        <v>15</v>
      </c>
      <c r="L180" s="10" t="s">
        <v>65</v>
      </c>
      <c r="M180" s="10" t="s">
        <v>66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">
      <c r="A181" s="10" t="s">
        <v>693</v>
      </c>
      <c r="B181" s="10" t="s">
        <v>35</v>
      </c>
      <c r="C181" s="10" t="s">
        <v>213</v>
      </c>
      <c r="D181" s="10" t="s">
        <v>694</v>
      </c>
      <c r="E181" s="10" t="s">
        <v>670</v>
      </c>
      <c r="F181" s="10" t="s">
        <v>150</v>
      </c>
      <c r="G181" s="10" t="s">
        <v>61</v>
      </c>
      <c r="H181" s="10" t="s">
        <v>695</v>
      </c>
      <c r="I181" s="10" t="s">
        <v>63</v>
      </c>
      <c r="J181" s="10" t="s">
        <v>64</v>
      </c>
      <c r="K181" s="10" t="s">
        <v>15</v>
      </c>
      <c r="L181" s="10" t="s">
        <v>65</v>
      </c>
      <c r="M181" s="10" t="s">
        <v>66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">
      <c r="A182" s="10" t="s">
        <v>696</v>
      </c>
      <c r="B182" s="10" t="s">
        <v>35</v>
      </c>
      <c r="C182" s="10" t="s">
        <v>213</v>
      </c>
      <c r="D182" s="10" t="s">
        <v>697</v>
      </c>
      <c r="E182" s="10" t="s">
        <v>670</v>
      </c>
      <c r="F182" s="10" t="s">
        <v>150</v>
      </c>
      <c r="G182" s="10" t="s">
        <v>61</v>
      </c>
      <c r="H182" s="10" t="s">
        <v>698</v>
      </c>
      <c r="I182" s="10" t="s">
        <v>63</v>
      </c>
      <c r="J182" s="10" t="s">
        <v>362</v>
      </c>
      <c r="K182" s="10" t="s">
        <v>15</v>
      </c>
      <c r="L182" s="10" t="s">
        <v>65</v>
      </c>
      <c r="M182" s="10" t="s">
        <v>66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">
      <c r="A183" s="10" t="s">
        <v>699</v>
      </c>
      <c r="B183" s="10" t="s">
        <v>35</v>
      </c>
      <c r="C183" s="10" t="s">
        <v>213</v>
      </c>
      <c r="D183" s="10" t="s">
        <v>700</v>
      </c>
      <c r="E183" s="10" t="s">
        <v>670</v>
      </c>
      <c r="F183" s="10" t="s">
        <v>150</v>
      </c>
      <c r="G183" s="10" t="s">
        <v>61</v>
      </c>
      <c r="H183" s="10" t="s">
        <v>701</v>
      </c>
      <c r="I183" s="10" t="s">
        <v>83</v>
      </c>
      <c r="J183" s="10" t="s">
        <v>64</v>
      </c>
      <c r="K183" s="10" t="s">
        <v>15</v>
      </c>
      <c r="L183" s="10" t="s">
        <v>65</v>
      </c>
      <c r="M183" s="10" t="s">
        <v>66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">
      <c r="A184" s="10" t="s">
        <v>702</v>
      </c>
      <c r="B184" s="10" t="s">
        <v>35</v>
      </c>
      <c r="C184" s="10" t="s">
        <v>213</v>
      </c>
      <c r="D184" s="10" t="s">
        <v>703</v>
      </c>
      <c r="E184" s="10" t="s">
        <v>670</v>
      </c>
      <c r="F184" s="10" t="s">
        <v>150</v>
      </c>
      <c r="G184" s="10" t="s">
        <v>107</v>
      </c>
      <c r="H184" s="10" t="s">
        <v>704</v>
      </c>
      <c r="I184" s="10" t="s">
        <v>109</v>
      </c>
      <c r="J184" s="10" t="s">
        <v>64</v>
      </c>
      <c r="K184" s="10" t="s">
        <v>15</v>
      </c>
      <c r="L184" s="10" t="s">
        <v>110</v>
      </c>
      <c r="M184" s="10" t="s">
        <v>66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">
      <c r="A185" s="10" t="s">
        <v>705</v>
      </c>
      <c r="B185" s="10" t="s">
        <v>35</v>
      </c>
      <c r="C185" s="10" t="s">
        <v>213</v>
      </c>
      <c r="D185" s="10" t="s">
        <v>706</v>
      </c>
      <c r="E185" s="10" t="s">
        <v>670</v>
      </c>
      <c r="F185" s="10" t="s">
        <v>150</v>
      </c>
      <c r="G185" s="10" t="s">
        <v>107</v>
      </c>
      <c r="H185" s="10" t="s">
        <v>707</v>
      </c>
      <c r="I185" s="10" t="s">
        <v>353</v>
      </c>
      <c r="J185" s="10" t="s">
        <v>64</v>
      </c>
      <c r="K185" s="10" t="s">
        <v>15</v>
      </c>
      <c r="L185" s="10" t="s">
        <v>110</v>
      </c>
      <c r="M185" s="10" t="s">
        <v>66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">
      <c r="A186" s="10" t="s">
        <v>708</v>
      </c>
      <c r="B186" s="10" t="s">
        <v>35</v>
      </c>
      <c r="C186" s="10" t="s">
        <v>213</v>
      </c>
      <c r="D186" s="10" t="s">
        <v>709</v>
      </c>
      <c r="E186" s="10" t="s">
        <v>670</v>
      </c>
      <c r="F186" s="10" t="s">
        <v>150</v>
      </c>
      <c r="G186" s="10" t="s">
        <v>113</v>
      </c>
      <c r="H186" s="10" t="s">
        <v>710</v>
      </c>
      <c r="I186" s="10" t="s">
        <v>115</v>
      </c>
      <c r="J186" s="10" t="s">
        <v>64</v>
      </c>
      <c r="K186" s="10" t="s">
        <v>15</v>
      </c>
      <c r="L186" s="10" t="s">
        <v>116</v>
      </c>
      <c r="M186" s="10" t="s">
        <v>66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">
      <c r="A187" s="10" t="s">
        <v>711</v>
      </c>
      <c r="B187" s="10" t="s">
        <v>36</v>
      </c>
      <c r="C187" s="10" t="s">
        <v>712</v>
      </c>
      <c r="D187" s="10" t="s">
        <v>713</v>
      </c>
      <c r="E187" s="10" t="s">
        <v>714</v>
      </c>
      <c r="F187" s="10" t="s">
        <v>715</v>
      </c>
      <c r="G187" s="10" t="s">
        <v>101</v>
      </c>
      <c r="H187" s="10" t="s">
        <v>716</v>
      </c>
      <c r="I187" s="10" t="s">
        <v>103</v>
      </c>
      <c r="J187" s="10" t="s">
        <v>717</v>
      </c>
      <c r="K187" s="10" t="s">
        <v>12</v>
      </c>
      <c r="L187" s="10" t="s">
        <v>104</v>
      </c>
      <c r="M187" s="10" t="s">
        <v>66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">
      <c r="A188" s="10" t="s">
        <v>718</v>
      </c>
      <c r="B188" s="10" t="s">
        <v>36</v>
      </c>
      <c r="C188" s="10" t="s">
        <v>712</v>
      </c>
      <c r="D188" s="10" t="s">
        <v>719</v>
      </c>
      <c r="E188" s="10" t="s">
        <v>714</v>
      </c>
      <c r="F188" s="10" t="s">
        <v>715</v>
      </c>
      <c r="G188" s="10" t="s">
        <v>107</v>
      </c>
      <c r="H188" s="10" t="s">
        <v>720</v>
      </c>
      <c r="I188" s="10" t="s">
        <v>436</v>
      </c>
      <c r="J188" s="10" t="s">
        <v>717</v>
      </c>
      <c r="K188" s="10" t="s">
        <v>12</v>
      </c>
      <c r="L188" s="10" t="s">
        <v>110</v>
      </c>
      <c r="M188" s="10" t="s">
        <v>66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">
      <c r="A189" s="10" t="s">
        <v>721</v>
      </c>
      <c r="B189" s="10" t="s">
        <v>36</v>
      </c>
      <c r="C189" s="10" t="s">
        <v>712</v>
      </c>
      <c r="D189" s="10" t="s">
        <v>722</v>
      </c>
      <c r="E189" s="10" t="s">
        <v>714</v>
      </c>
      <c r="F189" s="10" t="s">
        <v>715</v>
      </c>
      <c r="G189" s="10" t="s">
        <v>113</v>
      </c>
      <c r="H189" s="10" t="s">
        <v>723</v>
      </c>
      <c r="I189" s="10" t="s">
        <v>115</v>
      </c>
      <c r="J189" s="10" t="s">
        <v>717</v>
      </c>
      <c r="K189" s="10" t="s">
        <v>12</v>
      </c>
      <c r="L189" s="10" t="s">
        <v>116</v>
      </c>
      <c r="M189" s="10" t="s">
        <v>66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">
      <c r="A190" s="10" t="s">
        <v>724</v>
      </c>
      <c r="B190" s="10" t="s">
        <v>36</v>
      </c>
      <c r="C190" s="10" t="s">
        <v>712</v>
      </c>
      <c r="D190" s="10" t="s">
        <v>725</v>
      </c>
      <c r="E190" s="10" t="s">
        <v>714</v>
      </c>
      <c r="F190" s="10" t="s">
        <v>715</v>
      </c>
      <c r="G190" s="10" t="s">
        <v>101</v>
      </c>
      <c r="H190" s="10" t="s">
        <v>726</v>
      </c>
      <c r="I190" s="10" t="s">
        <v>103</v>
      </c>
      <c r="J190" s="10" t="s">
        <v>717</v>
      </c>
      <c r="K190" s="10" t="s">
        <v>12</v>
      </c>
      <c r="L190" s="10" t="s">
        <v>104</v>
      </c>
      <c r="M190" s="10" t="s">
        <v>66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">
      <c r="A191" s="10" t="s">
        <v>727</v>
      </c>
      <c r="B191" s="10" t="s">
        <v>36</v>
      </c>
      <c r="C191" s="10" t="s">
        <v>712</v>
      </c>
      <c r="D191" s="10" t="s">
        <v>728</v>
      </c>
      <c r="E191" s="10" t="s">
        <v>714</v>
      </c>
      <c r="F191" s="10" t="s">
        <v>715</v>
      </c>
      <c r="G191" s="10" t="s">
        <v>107</v>
      </c>
      <c r="H191" s="10" t="s">
        <v>729</v>
      </c>
      <c r="I191" s="10" t="s">
        <v>436</v>
      </c>
      <c r="J191" s="10" t="s">
        <v>717</v>
      </c>
      <c r="K191" s="10" t="s">
        <v>12</v>
      </c>
      <c r="L191" s="10" t="s">
        <v>110</v>
      </c>
      <c r="M191" s="10" t="s">
        <v>66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">
      <c r="A192" s="10" t="s">
        <v>730</v>
      </c>
      <c r="B192" s="10" t="s">
        <v>36</v>
      </c>
      <c r="C192" s="10" t="s">
        <v>712</v>
      </c>
      <c r="D192" s="10" t="s">
        <v>731</v>
      </c>
      <c r="E192" s="10" t="s">
        <v>714</v>
      </c>
      <c r="F192" s="10" t="s">
        <v>715</v>
      </c>
      <c r="G192" s="10" t="s">
        <v>61</v>
      </c>
      <c r="H192" s="10" t="s">
        <v>732</v>
      </c>
      <c r="I192" s="10" t="s">
        <v>63</v>
      </c>
      <c r="J192" s="10" t="s">
        <v>717</v>
      </c>
      <c r="K192" s="10" t="s">
        <v>12</v>
      </c>
      <c r="L192" s="10" t="s">
        <v>65</v>
      </c>
      <c r="M192" s="10" t="s">
        <v>66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">
      <c r="A193" s="10" t="s">
        <v>733</v>
      </c>
      <c r="B193" s="10" t="s">
        <v>36</v>
      </c>
      <c r="C193" s="10" t="s">
        <v>712</v>
      </c>
      <c r="D193" s="10" t="s">
        <v>734</v>
      </c>
      <c r="E193" s="10" t="s">
        <v>714</v>
      </c>
      <c r="F193" s="10" t="s">
        <v>715</v>
      </c>
      <c r="G193" s="10" t="s">
        <v>61</v>
      </c>
      <c r="H193" s="10" t="s">
        <v>735</v>
      </c>
      <c r="I193" s="10" t="s">
        <v>63</v>
      </c>
      <c r="J193" s="10" t="s">
        <v>64</v>
      </c>
      <c r="K193" s="10" t="s">
        <v>15</v>
      </c>
      <c r="L193" s="10" t="s">
        <v>65</v>
      </c>
      <c r="M193" s="10" t="s">
        <v>66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">
      <c r="A194" s="10" t="s">
        <v>736</v>
      </c>
      <c r="B194" s="10" t="s">
        <v>36</v>
      </c>
      <c r="C194" s="10" t="s">
        <v>712</v>
      </c>
      <c r="D194" s="10" t="s">
        <v>737</v>
      </c>
      <c r="E194" s="10" t="s">
        <v>738</v>
      </c>
      <c r="F194" s="10" t="s">
        <v>715</v>
      </c>
      <c r="G194" s="10" t="s">
        <v>61</v>
      </c>
      <c r="H194" s="10" t="s">
        <v>739</v>
      </c>
      <c r="I194" s="10" t="s">
        <v>63</v>
      </c>
      <c r="J194" s="10" t="s">
        <v>270</v>
      </c>
      <c r="K194" s="10" t="s">
        <v>15</v>
      </c>
      <c r="L194" s="10" t="s">
        <v>65</v>
      </c>
      <c r="M194" s="10" t="s">
        <v>66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">
      <c r="A195" s="10" t="s">
        <v>740</v>
      </c>
      <c r="B195" s="10" t="s">
        <v>36</v>
      </c>
      <c r="C195" s="10" t="s">
        <v>712</v>
      </c>
      <c r="D195" s="10" t="s">
        <v>741</v>
      </c>
      <c r="E195" s="10" t="s">
        <v>714</v>
      </c>
      <c r="F195" s="10" t="s">
        <v>715</v>
      </c>
      <c r="G195" s="10" t="s">
        <v>61</v>
      </c>
      <c r="H195" s="10" t="s">
        <v>742</v>
      </c>
      <c r="I195" s="10" t="s">
        <v>63</v>
      </c>
      <c r="J195" s="10" t="s">
        <v>64</v>
      </c>
      <c r="K195" s="10" t="s">
        <v>15</v>
      </c>
      <c r="L195" s="10" t="s">
        <v>65</v>
      </c>
      <c r="M195" s="10" t="s">
        <v>66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">
      <c r="A196" s="10" t="s">
        <v>743</v>
      </c>
      <c r="B196" s="10" t="s">
        <v>36</v>
      </c>
      <c r="C196" s="10" t="s">
        <v>712</v>
      </c>
      <c r="D196" s="10" t="s">
        <v>744</v>
      </c>
      <c r="E196" s="10" t="s">
        <v>745</v>
      </c>
      <c r="F196" s="10" t="s">
        <v>715</v>
      </c>
      <c r="G196" s="10" t="s">
        <v>61</v>
      </c>
      <c r="H196" s="10" t="s">
        <v>746</v>
      </c>
      <c r="I196" s="10" t="s">
        <v>63</v>
      </c>
      <c r="J196" s="10" t="s">
        <v>717</v>
      </c>
      <c r="K196" s="10" t="s">
        <v>15</v>
      </c>
      <c r="L196" s="10" t="s">
        <v>65</v>
      </c>
      <c r="M196" s="10" t="s">
        <v>66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">
      <c r="A197" s="10" t="s">
        <v>747</v>
      </c>
      <c r="B197" s="10" t="s">
        <v>36</v>
      </c>
      <c r="C197" s="10" t="s">
        <v>712</v>
      </c>
      <c r="D197" s="10" t="s">
        <v>748</v>
      </c>
      <c r="E197" s="10" t="s">
        <v>745</v>
      </c>
      <c r="F197" s="10" t="s">
        <v>715</v>
      </c>
      <c r="G197" s="10" t="s">
        <v>61</v>
      </c>
      <c r="H197" s="10" t="s">
        <v>749</v>
      </c>
      <c r="I197" s="10" t="s">
        <v>63</v>
      </c>
      <c r="J197" s="10" t="s">
        <v>461</v>
      </c>
      <c r="K197" s="10" t="s">
        <v>15</v>
      </c>
      <c r="L197" s="10" t="s">
        <v>65</v>
      </c>
      <c r="M197" s="10" t="s">
        <v>66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">
      <c r="A198" s="10" t="s">
        <v>750</v>
      </c>
      <c r="B198" s="10" t="s">
        <v>36</v>
      </c>
      <c r="C198" s="10" t="s">
        <v>712</v>
      </c>
      <c r="D198" s="10" t="s">
        <v>751</v>
      </c>
      <c r="E198" s="10" t="s">
        <v>714</v>
      </c>
      <c r="F198" s="10" t="s">
        <v>715</v>
      </c>
      <c r="G198" s="10" t="s">
        <v>61</v>
      </c>
      <c r="H198" s="10" t="s">
        <v>752</v>
      </c>
      <c r="I198" s="10" t="s">
        <v>63</v>
      </c>
      <c r="J198" s="10" t="s">
        <v>717</v>
      </c>
      <c r="K198" s="10" t="s">
        <v>15</v>
      </c>
      <c r="L198" s="10" t="s">
        <v>65</v>
      </c>
      <c r="M198" s="10" t="s">
        <v>66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">
      <c r="A199" s="10" t="s">
        <v>753</v>
      </c>
      <c r="B199" s="10" t="s">
        <v>37</v>
      </c>
      <c r="C199" s="10" t="s">
        <v>37</v>
      </c>
      <c r="D199" s="10" t="s">
        <v>754</v>
      </c>
      <c r="E199" s="10" t="s">
        <v>755</v>
      </c>
      <c r="F199" s="10" t="s">
        <v>715</v>
      </c>
      <c r="G199" s="10" t="s">
        <v>101</v>
      </c>
      <c r="H199" s="10" t="s">
        <v>756</v>
      </c>
      <c r="I199" s="10" t="s">
        <v>103</v>
      </c>
      <c r="J199" s="10" t="s">
        <v>664</v>
      </c>
      <c r="K199" s="10" t="s">
        <v>12</v>
      </c>
      <c r="L199" s="10" t="s">
        <v>104</v>
      </c>
      <c r="M199" s="10" t="s">
        <v>66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">
      <c r="A200" s="10" t="s">
        <v>757</v>
      </c>
      <c r="B200" s="10" t="s">
        <v>37</v>
      </c>
      <c r="C200" s="10" t="s">
        <v>37</v>
      </c>
      <c r="D200" s="10" t="s">
        <v>758</v>
      </c>
      <c r="E200" s="10" t="s">
        <v>759</v>
      </c>
      <c r="F200" s="10" t="s">
        <v>715</v>
      </c>
      <c r="G200" s="10" t="s">
        <v>107</v>
      </c>
      <c r="H200" s="10" t="s">
        <v>760</v>
      </c>
      <c r="I200" s="10" t="s">
        <v>436</v>
      </c>
      <c r="J200" s="10" t="s">
        <v>664</v>
      </c>
      <c r="K200" s="10" t="s">
        <v>12</v>
      </c>
      <c r="L200" s="10" t="s">
        <v>110</v>
      </c>
      <c r="M200" s="10" t="s">
        <v>66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">
      <c r="A201" s="10" t="s">
        <v>761</v>
      </c>
      <c r="B201" s="10" t="s">
        <v>37</v>
      </c>
      <c r="C201" s="10" t="s">
        <v>37</v>
      </c>
      <c r="D201" s="10" t="s">
        <v>762</v>
      </c>
      <c r="E201" s="10" t="s">
        <v>759</v>
      </c>
      <c r="F201" s="10" t="s">
        <v>715</v>
      </c>
      <c r="G201" s="10" t="s">
        <v>113</v>
      </c>
      <c r="H201" s="10" t="s">
        <v>763</v>
      </c>
      <c r="I201" s="10" t="s">
        <v>115</v>
      </c>
      <c r="J201" s="10" t="s">
        <v>664</v>
      </c>
      <c r="K201" s="10" t="s">
        <v>12</v>
      </c>
      <c r="L201" s="10" t="s">
        <v>116</v>
      </c>
      <c r="M201" s="10" t="s">
        <v>66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">
      <c r="A202" s="10" t="s">
        <v>764</v>
      </c>
      <c r="B202" s="10" t="s">
        <v>37</v>
      </c>
      <c r="C202" s="10" t="s">
        <v>37</v>
      </c>
      <c r="D202" s="10" t="s">
        <v>765</v>
      </c>
      <c r="E202" s="10" t="s">
        <v>759</v>
      </c>
      <c r="F202" s="10" t="s">
        <v>715</v>
      </c>
      <c r="G202" s="10" t="s">
        <v>101</v>
      </c>
      <c r="H202" s="10" t="s">
        <v>766</v>
      </c>
      <c r="I202" s="10" t="s">
        <v>103</v>
      </c>
      <c r="J202" s="10" t="s">
        <v>664</v>
      </c>
      <c r="K202" s="10" t="s">
        <v>12</v>
      </c>
      <c r="L202" s="10" t="s">
        <v>104</v>
      </c>
      <c r="M202" s="10" t="s">
        <v>66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">
      <c r="A203" s="10" t="s">
        <v>767</v>
      </c>
      <c r="B203" s="10" t="s">
        <v>37</v>
      </c>
      <c r="C203" s="10" t="s">
        <v>37</v>
      </c>
      <c r="D203" s="10" t="s">
        <v>768</v>
      </c>
      <c r="E203" s="10" t="s">
        <v>769</v>
      </c>
      <c r="F203" s="10" t="s">
        <v>198</v>
      </c>
      <c r="G203" s="10" t="s">
        <v>61</v>
      </c>
      <c r="H203" s="10" t="s">
        <v>770</v>
      </c>
      <c r="I203" s="10" t="s">
        <v>63</v>
      </c>
      <c r="J203" s="10" t="s">
        <v>664</v>
      </c>
      <c r="K203" s="10" t="s">
        <v>12</v>
      </c>
      <c r="L203" s="10" t="s">
        <v>65</v>
      </c>
      <c r="M203" s="10" t="s">
        <v>66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">
      <c r="A204" s="10" t="s">
        <v>771</v>
      </c>
      <c r="B204" s="10" t="s">
        <v>37</v>
      </c>
      <c r="C204" s="10" t="s">
        <v>37</v>
      </c>
      <c r="D204" s="10" t="s">
        <v>772</v>
      </c>
      <c r="E204" s="10" t="s">
        <v>769</v>
      </c>
      <c r="F204" s="10" t="s">
        <v>198</v>
      </c>
      <c r="G204" s="10" t="s">
        <v>61</v>
      </c>
      <c r="H204" s="10" t="s">
        <v>773</v>
      </c>
      <c r="I204" s="10" t="s">
        <v>63</v>
      </c>
      <c r="J204" s="10" t="s">
        <v>664</v>
      </c>
      <c r="K204" s="10" t="s">
        <v>15</v>
      </c>
      <c r="L204" s="10" t="s">
        <v>65</v>
      </c>
      <c r="M204" s="10" t="s">
        <v>66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">
      <c r="A205" s="10" t="s">
        <v>774</v>
      </c>
      <c r="B205" s="10" t="s">
        <v>37</v>
      </c>
      <c r="C205" s="10" t="s">
        <v>37</v>
      </c>
      <c r="D205" s="10" t="s">
        <v>775</v>
      </c>
      <c r="E205" s="10" t="s">
        <v>769</v>
      </c>
      <c r="F205" s="10" t="s">
        <v>198</v>
      </c>
      <c r="G205" s="10" t="s">
        <v>107</v>
      </c>
      <c r="H205" s="10" t="s">
        <v>776</v>
      </c>
      <c r="I205" s="10" t="s">
        <v>109</v>
      </c>
      <c r="J205" s="10" t="s">
        <v>664</v>
      </c>
      <c r="K205" s="10" t="s">
        <v>15</v>
      </c>
      <c r="L205" s="10" t="s">
        <v>110</v>
      </c>
      <c r="M205" s="10" t="s">
        <v>66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">
      <c r="A206" s="10" t="s">
        <v>777</v>
      </c>
      <c r="B206" s="10" t="s">
        <v>37</v>
      </c>
      <c r="C206" s="10" t="s">
        <v>37</v>
      </c>
      <c r="D206" s="10" t="s">
        <v>778</v>
      </c>
      <c r="E206" s="10" t="s">
        <v>769</v>
      </c>
      <c r="F206" s="10" t="s">
        <v>198</v>
      </c>
      <c r="G206" s="10" t="s">
        <v>61</v>
      </c>
      <c r="H206" s="10" t="s">
        <v>779</v>
      </c>
      <c r="I206" s="10" t="s">
        <v>63</v>
      </c>
      <c r="J206" s="10" t="s">
        <v>664</v>
      </c>
      <c r="K206" s="10" t="s">
        <v>15</v>
      </c>
      <c r="L206" s="10" t="s">
        <v>65</v>
      </c>
      <c r="M206" s="10" t="s">
        <v>66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">
      <c r="A207" s="10" t="s">
        <v>780</v>
      </c>
      <c r="B207" s="10" t="s">
        <v>37</v>
      </c>
      <c r="C207" s="10" t="s">
        <v>37</v>
      </c>
      <c r="D207" s="10" t="s">
        <v>781</v>
      </c>
      <c r="E207" s="10" t="s">
        <v>755</v>
      </c>
      <c r="F207" s="10" t="s">
        <v>715</v>
      </c>
      <c r="G207" s="10" t="s">
        <v>61</v>
      </c>
      <c r="H207" s="10" t="s">
        <v>782</v>
      </c>
      <c r="I207" s="10" t="s">
        <v>63</v>
      </c>
      <c r="J207" s="10" t="s">
        <v>664</v>
      </c>
      <c r="K207" s="10" t="s">
        <v>15</v>
      </c>
      <c r="L207" s="10" t="s">
        <v>65</v>
      </c>
      <c r="M207" s="10" t="s">
        <v>66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">
      <c r="A208" s="10" t="s">
        <v>783</v>
      </c>
      <c r="B208" s="10" t="s">
        <v>37</v>
      </c>
      <c r="C208" s="10" t="s">
        <v>37</v>
      </c>
      <c r="D208" s="10" t="s">
        <v>784</v>
      </c>
      <c r="E208" s="10" t="s">
        <v>759</v>
      </c>
      <c r="F208" s="10" t="s">
        <v>715</v>
      </c>
      <c r="G208" s="10" t="s">
        <v>125</v>
      </c>
      <c r="H208" s="10" t="s">
        <v>785</v>
      </c>
      <c r="I208" s="10" t="s">
        <v>96</v>
      </c>
      <c r="J208" s="10" t="s">
        <v>664</v>
      </c>
      <c r="K208" s="10" t="s">
        <v>15</v>
      </c>
      <c r="L208" s="10" t="s">
        <v>127</v>
      </c>
      <c r="M208" s="10" t="s">
        <v>66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">
      <c r="A209" s="10" t="s">
        <v>786</v>
      </c>
      <c r="B209" s="10" t="s">
        <v>38</v>
      </c>
      <c r="C209" s="10" t="s">
        <v>38</v>
      </c>
      <c r="D209" s="10" t="s">
        <v>787</v>
      </c>
      <c r="E209" s="10" t="s">
        <v>788</v>
      </c>
      <c r="F209" s="10" t="s">
        <v>715</v>
      </c>
      <c r="G209" s="10" t="s">
        <v>61</v>
      </c>
      <c r="H209" s="10" t="s">
        <v>789</v>
      </c>
      <c r="I209" s="10" t="s">
        <v>63</v>
      </c>
      <c r="J209" s="10" t="s">
        <v>393</v>
      </c>
      <c r="K209" s="10" t="s">
        <v>12</v>
      </c>
      <c r="L209" s="10" t="s">
        <v>65</v>
      </c>
      <c r="M209" s="10" t="s">
        <v>66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">
      <c r="A210" s="10" t="s">
        <v>790</v>
      </c>
      <c r="B210" s="10" t="s">
        <v>38</v>
      </c>
      <c r="C210" s="10" t="s">
        <v>38</v>
      </c>
      <c r="D210" s="10" t="s">
        <v>791</v>
      </c>
      <c r="E210" s="10" t="s">
        <v>788</v>
      </c>
      <c r="F210" s="10" t="s">
        <v>715</v>
      </c>
      <c r="G210" s="10" t="s">
        <v>61</v>
      </c>
      <c r="H210" s="10" t="s">
        <v>792</v>
      </c>
      <c r="I210" s="10" t="s">
        <v>63</v>
      </c>
      <c r="J210" s="10" t="s">
        <v>393</v>
      </c>
      <c r="K210" s="10" t="s">
        <v>12</v>
      </c>
      <c r="L210" s="10" t="s">
        <v>65</v>
      </c>
      <c r="M210" s="10" t="s">
        <v>66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">
      <c r="A211" s="10" t="s">
        <v>793</v>
      </c>
      <c r="B211" s="10" t="s">
        <v>38</v>
      </c>
      <c r="C211" s="10" t="s">
        <v>38</v>
      </c>
      <c r="D211" s="10" t="s">
        <v>794</v>
      </c>
      <c r="E211" s="10" t="s">
        <v>788</v>
      </c>
      <c r="F211" s="10" t="s">
        <v>715</v>
      </c>
      <c r="G211" s="10" t="s">
        <v>61</v>
      </c>
      <c r="H211" s="10" t="s">
        <v>795</v>
      </c>
      <c r="I211" s="10" t="s">
        <v>63</v>
      </c>
      <c r="J211" s="10" t="s">
        <v>270</v>
      </c>
      <c r="K211" s="10" t="s">
        <v>15</v>
      </c>
      <c r="L211" s="10" t="s">
        <v>65</v>
      </c>
      <c r="M211" s="10" t="s">
        <v>66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">
      <c r="A212" s="10" t="s">
        <v>796</v>
      </c>
      <c r="B212" s="10" t="s">
        <v>38</v>
      </c>
      <c r="C212" s="10" t="s">
        <v>38</v>
      </c>
      <c r="D212" s="10" t="s">
        <v>797</v>
      </c>
      <c r="E212" s="10" t="s">
        <v>788</v>
      </c>
      <c r="F212" s="10" t="s">
        <v>715</v>
      </c>
      <c r="G212" s="10" t="s">
        <v>61</v>
      </c>
      <c r="H212" s="10" t="s">
        <v>798</v>
      </c>
      <c r="I212" s="10" t="s">
        <v>63</v>
      </c>
      <c r="J212" s="10" t="s">
        <v>64</v>
      </c>
      <c r="K212" s="10" t="s">
        <v>15</v>
      </c>
      <c r="L212" s="10" t="s">
        <v>65</v>
      </c>
      <c r="M212" s="10" t="s">
        <v>66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">
      <c r="A213" s="10" t="s">
        <v>799</v>
      </c>
      <c r="B213" s="10" t="s">
        <v>38</v>
      </c>
      <c r="C213" s="10" t="s">
        <v>38</v>
      </c>
      <c r="D213" s="10" t="s">
        <v>800</v>
      </c>
      <c r="E213" s="10" t="s">
        <v>788</v>
      </c>
      <c r="F213" s="10" t="s">
        <v>715</v>
      </c>
      <c r="G213" s="10" t="s">
        <v>61</v>
      </c>
      <c r="H213" s="10" t="s">
        <v>801</v>
      </c>
      <c r="I213" s="10" t="s">
        <v>63</v>
      </c>
      <c r="J213" s="10" t="s">
        <v>461</v>
      </c>
      <c r="K213" s="10" t="s">
        <v>15</v>
      </c>
      <c r="L213" s="10" t="s">
        <v>65</v>
      </c>
      <c r="M213" s="10" t="s">
        <v>66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">
      <c r="A214" s="10" t="s">
        <v>802</v>
      </c>
      <c r="B214" s="10" t="s">
        <v>38</v>
      </c>
      <c r="C214" s="10" t="s">
        <v>38</v>
      </c>
      <c r="D214" s="10" t="s">
        <v>803</v>
      </c>
      <c r="E214" s="10" t="s">
        <v>788</v>
      </c>
      <c r="F214" s="10" t="s">
        <v>715</v>
      </c>
      <c r="G214" s="10" t="s">
        <v>61</v>
      </c>
      <c r="H214" s="10" t="s">
        <v>804</v>
      </c>
      <c r="I214" s="10" t="s">
        <v>63</v>
      </c>
      <c r="J214" s="10" t="s">
        <v>64</v>
      </c>
      <c r="K214" s="10" t="s">
        <v>15</v>
      </c>
      <c r="L214" s="10" t="s">
        <v>65</v>
      </c>
      <c r="M214" s="10" t="s">
        <v>66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">
      <c r="A215" s="10" t="s">
        <v>805</v>
      </c>
      <c r="B215" s="10" t="s">
        <v>38</v>
      </c>
      <c r="C215" s="10" t="s">
        <v>38</v>
      </c>
      <c r="D215" s="10" t="s">
        <v>806</v>
      </c>
      <c r="E215" s="10" t="s">
        <v>788</v>
      </c>
      <c r="F215" s="10" t="s">
        <v>715</v>
      </c>
      <c r="G215" s="10" t="s">
        <v>244</v>
      </c>
      <c r="H215" s="10" t="s">
        <v>807</v>
      </c>
      <c r="I215" s="10" t="s">
        <v>246</v>
      </c>
      <c r="J215" s="10" t="s">
        <v>501</v>
      </c>
      <c r="K215" s="10" t="s">
        <v>15</v>
      </c>
      <c r="L215" s="10" t="s">
        <v>244</v>
      </c>
      <c r="M215" s="10" t="s">
        <v>66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">
      <c r="A216" s="10" t="s">
        <v>808</v>
      </c>
      <c r="B216" s="10" t="s">
        <v>38</v>
      </c>
      <c r="C216" s="10" t="s">
        <v>38</v>
      </c>
      <c r="D216" s="10" t="s">
        <v>809</v>
      </c>
      <c r="E216" s="10" t="s">
        <v>788</v>
      </c>
      <c r="F216" s="10" t="s">
        <v>715</v>
      </c>
      <c r="G216" s="10" t="s">
        <v>61</v>
      </c>
      <c r="H216" s="10" t="s">
        <v>810</v>
      </c>
      <c r="I216" s="10" t="s">
        <v>63</v>
      </c>
      <c r="J216" s="10" t="s">
        <v>615</v>
      </c>
      <c r="K216" s="10" t="s">
        <v>15</v>
      </c>
      <c r="L216" s="10" t="s">
        <v>65</v>
      </c>
      <c r="M216" s="10" t="s">
        <v>66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">
      <c r="A217" s="10" t="s">
        <v>811</v>
      </c>
      <c r="B217" s="10" t="s">
        <v>39</v>
      </c>
      <c r="C217" s="10" t="s">
        <v>812</v>
      </c>
      <c r="D217" s="10" t="s">
        <v>813</v>
      </c>
      <c r="E217" s="10" t="s">
        <v>814</v>
      </c>
      <c r="F217" s="10" t="s">
        <v>715</v>
      </c>
      <c r="G217" s="10" t="s">
        <v>94</v>
      </c>
      <c r="H217" s="10" t="s">
        <v>815</v>
      </c>
      <c r="I217" s="10" t="s">
        <v>96</v>
      </c>
      <c r="J217" s="10" t="s">
        <v>97</v>
      </c>
      <c r="K217" s="10" t="s">
        <v>12</v>
      </c>
      <c r="L217" s="10" t="s">
        <v>98</v>
      </c>
      <c r="M217" s="10" t="s">
        <v>66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">
      <c r="A218" s="10" t="s">
        <v>816</v>
      </c>
      <c r="B218" s="10" t="s">
        <v>39</v>
      </c>
      <c r="C218" s="10" t="s">
        <v>812</v>
      </c>
      <c r="D218" s="10" t="s">
        <v>817</v>
      </c>
      <c r="E218" s="10" t="s">
        <v>814</v>
      </c>
      <c r="F218" s="10" t="s">
        <v>715</v>
      </c>
      <c r="G218" s="10" t="s">
        <v>113</v>
      </c>
      <c r="H218" s="10" t="s">
        <v>818</v>
      </c>
      <c r="I218" s="10" t="s">
        <v>115</v>
      </c>
      <c r="J218" s="10" t="s">
        <v>270</v>
      </c>
      <c r="K218" s="10" t="s">
        <v>12</v>
      </c>
      <c r="L218" s="10" t="s">
        <v>116</v>
      </c>
      <c r="M218" s="10" t="s">
        <v>66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">
      <c r="A219" s="10" t="s">
        <v>819</v>
      </c>
      <c r="B219" s="10" t="s">
        <v>39</v>
      </c>
      <c r="C219" s="10" t="s">
        <v>812</v>
      </c>
      <c r="D219" s="10" t="s">
        <v>820</v>
      </c>
      <c r="E219" s="10" t="s">
        <v>814</v>
      </c>
      <c r="F219" s="10" t="s">
        <v>715</v>
      </c>
      <c r="G219" s="10" t="s">
        <v>61</v>
      </c>
      <c r="H219" s="10" t="s">
        <v>821</v>
      </c>
      <c r="I219" s="10" t="s">
        <v>63</v>
      </c>
      <c r="J219" s="10" t="s">
        <v>137</v>
      </c>
      <c r="K219" s="10" t="s">
        <v>12</v>
      </c>
      <c r="L219" s="10" t="s">
        <v>65</v>
      </c>
      <c r="M219" s="10" t="s">
        <v>66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">
      <c r="A220" s="10" t="s">
        <v>822</v>
      </c>
      <c r="B220" s="10" t="s">
        <v>39</v>
      </c>
      <c r="C220" s="10" t="s">
        <v>812</v>
      </c>
      <c r="D220" s="10" t="s">
        <v>823</v>
      </c>
      <c r="E220" s="10" t="s">
        <v>814</v>
      </c>
      <c r="F220" s="10" t="s">
        <v>715</v>
      </c>
      <c r="G220" s="10" t="s">
        <v>61</v>
      </c>
      <c r="H220" s="10" t="s">
        <v>824</v>
      </c>
      <c r="I220" s="10" t="s">
        <v>63</v>
      </c>
      <c r="J220" s="10" t="s">
        <v>137</v>
      </c>
      <c r="K220" s="10" t="s">
        <v>15</v>
      </c>
      <c r="L220" s="10" t="s">
        <v>65</v>
      </c>
      <c r="M220" s="10" t="s">
        <v>66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">
      <c r="A221" s="10" t="s">
        <v>825</v>
      </c>
      <c r="B221" s="10" t="s">
        <v>39</v>
      </c>
      <c r="C221" s="10" t="s">
        <v>812</v>
      </c>
      <c r="D221" s="10" t="s">
        <v>826</v>
      </c>
      <c r="E221" s="10" t="s">
        <v>814</v>
      </c>
      <c r="F221" s="10" t="s">
        <v>715</v>
      </c>
      <c r="G221" s="10" t="s">
        <v>61</v>
      </c>
      <c r="H221" s="10" t="s">
        <v>827</v>
      </c>
      <c r="I221" s="10" t="s">
        <v>63</v>
      </c>
      <c r="J221" s="10" t="s">
        <v>137</v>
      </c>
      <c r="K221" s="10" t="s">
        <v>15</v>
      </c>
      <c r="L221" s="10" t="s">
        <v>65</v>
      </c>
      <c r="M221" s="10" t="s">
        <v>66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">
      <c r="A222" s="10" t="s">
        <v>828</v>
      </c>
      <c r="B222" s="10" t="s">
        <v>39</v>
      </c>
      <c r="C222" s="10" t="s">
        <v>812</v>
      </c>
      <c r="D222" s="10" t="s">
        <v>829</v>
      </c>
      <c r="E222" s="10" t="s">
        <v>814</v>
      </c>
      <c r="F222" s="10" t="s">
        <v>715</v>
      </c>
      <c r="G222" s="10" t="s">
        <v>61</v>
      </c>
      <c r="H222" s="10" t="s">
        <v>830</v>
      </c>
      <c r="I222" s="10" t="s">
        <v>63</v>
      </c>
      <c r="J222" s="10" t="s">
        <v>64</v>
      </c>
      <c r="K222" s="10" t="s">
        <v>15</v>
      </c>
      <c r="L222" s="10" t="s">
        <v>65</v>
      </c>
      <c r="M222" s="10" t="s">
        <v>66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">
      <c r="A223" s="10" t="s">
        <v>831</v>
      </c>
      <c r="B223" s="10" t="s">
        <v>39</v>
      </c>
      <c r="C223" s="10" t="s">
        <v>812</v>
      </c>
      <c r="D223" s="10" t="s">
        <v>832</v>
      </c>
      <c r="E223" s="10" t="s">
        <v>814</v>
      </c>
      <c r="F223" s="10" t="s">
        <v>715</v>
      </c>
      <c r="G223" s="10" t="s">
        <v>61</v>
      </c>
      <c r="H223" s="10" t="s">
        <v>833</v>
      </c>
      <c r="I223" s="10" t="s">
        <v>63</v>
      </c>
      <c r="J223" s="10" t="s">
        <v>64</v>
      </c>
      <c r="K223" s="10" t="s">
        <v>15</v>
      </c>
      <c r="L223" s="10" t="s">
        <v>65</v>
      </c>
      <c r="M223" s="10" t="s">
        <v>66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">
      <c r="A224" s="10" t="s">
        <v>834</v>
      </c>
      <c r="B224" s="10" t="s">
        <v>39</v>
      </c>
      <c r="C224" s="10" t="s">
        <v>812</v>
      </c>
      <c r="D224" s="10" t="s">
        <v>835</v>
      </c>
      <c r="E224" s="10" t="s">
        <v>814</v>
      </c>
      <c r="F224" s="10" t="s">
        <v>715</v>
      </c>
      <c r="G224" s="10" t="s">
        <v>101</v>
      </c>
      <c r="H224" s="10" t="s">
        <v>836</v>
      </c>
      <c r="I224" s="10" t="s">
        <v>63</v>
      </c>
      <c r="J224" s="10" t="s">
        <v>64</v>
      </c>
      <c r="K224" s="10" t="s">
        <v>15</v>
      </c>
      <c r="L224" s="10" t="s">
        <v>104</v>
      </c>
      <c r="M224" s="10" t="s">
        <v>66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">
      <c r="A225" s="10" t="s">
        <v>837</v>
      </c>
      <c r="B225" s="10" t="s">
        <v>39</v>
      </c>
      <c r="C225" s="10" t="s">
        <v>812</v>
      </c>
      <c r="D225" s="10" t="s">
        <v>838</v>
      </c>
      <c r="E225" s="10" t="s">
        <v>814</v>
      </c>
      <c r="F225" s="10" t="s">
        <v>715</v>
      </c>
      <c r="G225" s="10" t="s">
        <v>61</v>
      </c>
      <c r="H225" s="10" t="s">
        <v>839</v>
      </c>
      <c r="I225" s="10" t="s">
        <v>63</v>
      </c>
      <c r="J225" s="10" t="s">
        <v>64</v>
      </c>
      <c r="K225" s="10" t="s">
        <v>15</v>
      </c>
      <c r="L225" s="10" t="s">
        <v>65</v>
      </c>
      <c r="M225" s="10" t="s">
        <v>66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">
      <c r="A226" s="10" t="s">
        <v>840</v>
      </c>
      <c r="B226" s="10" t="s">
        <v>39</v>
      </c>
      <c r="C226" s="10" t="s">
        <v>812</v>
      </c>
      <c r="D226" s="10" t="s">
        <v>841</v>
      </c>
      <c r="E226" s="10" t="s">
        <v>814</v>
      </c>
      <c r="F226" s="10" t="s">
        <v>715</v>
      </c>
      <c r="G226" s="10" t="s">
        <v>61</v>
      </c>
      <c r="H226" s="10" t="s">
        <v>842</v>
      </c>
      <c r="I226" s="10" t="s">
        <v>63</v>
      </c>
      <c r="J226" s="10" t="s">
        <v>64</v>
      </c>
      <c r="K226" s="10" t="s">
        <v>15</v>
      </c>
      <c r="L226" s="10" t="s">
        <v>65</v>
      </c>
      <c r="M226" s="10" t="s">
        <v>66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">
      <c r="A227" s="10" t="s">
        <v>843</v>
      </c>
      <c r="B227" s="10" t="s">
        <v>40</v>
      </c>
      <c r="C227" s="10" t="s">
        <v>844</v>
      </c>
      <c r="D227" s="10" t="s">
        <v>845</v>
      </c>
      <c r="E227" s="10" t="s">
        <v>846</v>
      </c>
      <c r="F227" s="10" t="s">
        <v>715</v>
      </c>
      <c r="G227" s="10" t="s">
        <v>94</v>
      </c>
      <c r="H227" s="10" t="s">
        <v>847</v>
      </c>
      <c r="I227" s="10" t="s">
        <v>96</v>
      </c>
      <c r="J227" s="10" t="s">
        <v>97</v>
      </c>
      <c r="K227" s="10" t="s">
        <v>12</v>
      </c>
      <c r="L227" s="10" t="s">
        <v>98</v>
      </c>
      <c r="M227" s="10" t="s">
        <v>66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">
      <c r="A228" s="10" t="s">
        <v>848</v>
      </c>
      <c r="B228" s="10" t="s">
        <v>40</v>
      </c>
      <c r="C228" s="10" t="s">
        <v>844</v>
      </c>
      <c r="D228" s="10" t="s">
        <v>849</v>
      </c>
      <c r="E228" s="10" t="s">
        <v>846</v>
      </c>
      <c r="F228" s="10" t="s">
        <v>715</v>
      </c>
      <c r="G228" s="10" t="s">
        <v>107</v>
      </c>
      <c r="H228" s="10" t="s">
        <v>850</v>
      </c>
      <c r="I228" s="10" t="s">
        <v>109</v>
      </c>
      <c r="J228" s="10" t="s">
        <v>851</v>
      </c>
      <c r="K228" s="10" t="s">
        <v>12</v>
      </c>
      <c r="L228" s="10" t="s">
        <v>110</v>
      </c>
      <c r="M228" s="10" t="s">
        <v>66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">
      <c r="A229" s="10" t="s">
        <v>852</v>
      </c>
      <c r="B229" s="10" t="s">
        <v>40</v>
      </c>
      <c r="C229" s="10" t="s">
        <v>844</v>
      </c>
      <c r="D229" s="10" t="s">
        <v>853</v>
      </c>
      <c r="E229" s="10" t="s">
        <v>846</v>
      </c>
      <c r="F229" s="10" t="s">
        <v>715</v>
      </c>
      <c r="G229" s="10" t="s">
        <v>61</v>
      </c>
      <c r="H229" s="10" t="s">
        <v>854</v>
      </c>
      <c r="I229" s="10" t="s">
        <v>83</v>
      </c>
      <c r="J229" s="10" t="s">
        <v>851</v>
      </c>
      <c r="K229" s="10" t="s">
        <v>12</v>
      </c>
      <c r="L229" s="10" t="s">
        <v>65</v>
      </c>
      <c r="M229" s="10" t="s">
        <v>66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">
      <c r="A230" s="10" t="s">
        <v>855</v>
      </c>
      <c r="B230" s="10" t="s">
        <v>40</v>
      </c>
      <c r="C230" s="10" t="s">
        <v>844</v>
      </c>
      <c r="D230" s="10" t="s">
        <v>856</v>
      </c>
      <c r="E230" s="10" t="s">
        <v>846</v>
      </c>
      <c r="F230" s="10" t="s">
        <v>715</v>
      </c>
      <c r="G230" s="10" t="s">
        <v>61</v>
      </c>
      <c r="H230" s="10" t="s">
        <v>857</v>
      </c>
      <c r="I230" s="10" t="s">
        <v>63</v>
      </c>
      <c r="J230" s="10" t="s">
        <v>851</v>
      </c>
      <c r="K230" s="10" t="s">
        <v>12</v>
      </c>
      <c r="L230" s="10" t="s">
        <v>65</v>
      </c>
      <c r="M230" s="10" t="s">
        <v>66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">
      <c r="A231" s="10" t="s">
        <v>858</v>
      </c>
      <c r="B231" s="10" t="s">
        <v>40</v>
      </c>
      <c r="C231" s="10" t="s">
        <v>844</v>
      </c>
      <c r="D231" s="10" t="s">
        <v>859</v>
      </c>
      <c r="E231" s="10" t="s">
        <v>846</v>
      </c>
      <c r="F231" s="10" t="s">
        <v>715</v>
      </c>
      <c r="G231" s="10" t="s">
        <v>61</v>
      </c>
      <c r="H231" s="10" t="s">
        <v>860</v>
      </c>
      <c r="I231" s="10" t="s">
        <v>63</v>
      </c>
      <c r="J231" s="10" t="s">
        <v>851</v>
      </c>
      <c r="K231" s="10" t="s">
        <v>15</v>
      </c>
      <c r="L231" s="10" t="s">
        <v>65</v>
      </c>
      <c r="M231" s="10" t="s">
        <v>66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">
      <c r="A232" s="10" t="s">
        <v>861</v>
      </c>
      <c r="B232" s="10" t="s">
        <v>40</v>
      </c>
      <c r="C232" s="10" t="s">
        <v>844</v>
      </c>
      <c r="D232" s="10" t="s">
        <v>862</v>
      </c>
      <c r="E232" s="10" t="s">
        <v>846</v>
      </c>
      <c r="F232" s="10" t="s">
        <v>715</v>
      </c>
      <c r="G232" s="10" t="s">
        <v>61</v>
      </c>
      <c r="H232" s="10" t="s">
        <v>863</v>
      </c>
      <c r="I232" s="10" t="s">
        <v>63</v>
      </c>
      <c r="J232" s="10" t="s">
        <v>270</v>
      </c>
      <c r="K232" s="10" t="s">
        <v>15</v>
      </c>
      <c r="L232" s="10" t="s">
        <v>65</v>
      </c>
      <c r="M232" s="10" t="s">
        <v>66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">
      <c r="A233" s="10" t="s">
        <v>864</v>
      </c>
      <c r="B233" s="10" t="s">
        <v>40</v>
      </c>
      <c r="C233" s="10" t="s">
        <v>844</v>
      </c>
      <c r="D233" s="10" t="s">
        <v>865</v>
      </c>
      <c r="E233" s="10" t="s">
        <v>846</v>
      </c>
      <c r="F233" s="10" t="s">
        <v>715</v>
      </c>
      <c r="G233" s="10" t="s">
        <v>61</v>
      </c>
      <c r="H233" s="10" t="s">
        <v>866</v>
      </c>
      <c r="I233" s="10" t="s">
        <v>63</v>
      </c>
      <c r="J233" s="10" t="s">
        <v>362</v>
      </c>
      <c r="K233" s="10" t="s">
        <v>15</v>
      </c>
      <c r="L233" s="10" t="s">
        <v>65</v>
      </c>
      <c r="M233" s="10" t="s">
        <v>66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">
      <c r="A234" s="10" t="s">
        <v>867</v>
      </c>
      <c r="B234" s="10" t="s">
        <v>40</v>
      </c>
      <c r="C234" s="10" t="s">
        <v>844</v>
      </c>
      <c r="D234" s="10" t="s">
        <v>868</v>
      </c>
      <c r="E234" s="10" t="s">
        <v>846</v>
      </c>
      <c r="F234" s="10" t="s">
        <v>715</v>
      </c>
      <c r="G234" s="10" t="s">
        <v>61</v>
      </c>
      <c r="H234" s="10" t="s">
        <v>869</v>
      </c>
      <c r="I234" s="10" t="s">
        <v>63</v>
      </c>
      <c r="J234" s="10" t="s">
        <v>851</v>
      </c>
      <c r="K234" s="10" t="s">
        <v>15</v>
      </c>
      <c r="L234" s="10" t="s">
        <v>65</v>
      </c>
      <c r="M234" s="10" t="s">
        <v>66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">
      <c r="A235" s="10" t="s">
        <v>870</v>
      </c>
      <c r="B235" s="10" t="s">
        <v>41</v>
      </c>
      <c r="C235" s="10" t="s">
        <v>871</v>
      </c>
      <c r="D235" s="10" t="s">
        <v>872</v>
      </c>
      <c r="E235" s="10" t="s">
        <v>873</v>
      </c>
      <c r="F235" s="10" t="s">
        <v>715</v>
      </c>
      <c r="G235" s="10" t="s">
        <v>94</v>
      </c>
      <c r="H235" s="10" t="s">
        <v>874</v>
      </c>
      <c r="I235" s="10" t="s">
        <v>96</v>
      </c>
      <c r="J235" s="10" t="s">
        <v>97</v>
      </c>
      <c r="K235" s="10" t="s">
        <v>12</v>
      </c>
      <c r="L235" s="10" t="s">
        <v>98</v>
      </c>
      <c r="M235" s="10" t="s">
        <v>66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">
      <c r="A236" s="10" t="s">
        <v>875</v>
      </c>
      <c r="B236" s="10" t="s">
        <v>41</v>
      </c>
      <c r="C236" s="10" t="s">
        <v>871</v>
      </c>
      <c r="D236" s="10" t="s">
        <v>876</v>
      </c>
      <c r="E236" s="10" t="s">
        <v>873</v>
      </c>
      <c r="F236" s="10" t="s">
        <v>715</v>
      </c>
      <c r="G236" s="10" t="s">
        <v>101</v>
      </c>
      <c r="H236" s="10" t="s">
        <v>877</v>
      </c>
      <c r="I236" s="10" t="s">
        <v>103</v>
      </c>
      <c r="J236" s="10" t="s">
        <v>64</v>
      </c>
      <c r="K236" s="10" t="s">
        <v>12</v>
      </c>
      <c r="L236" s="10" t="s">
        <v>104</v>
      </c>
      <c r="M236" s="10" t="s">
        <v>66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">
      <c r="A237" s="10" t="s">
        <v>878</v>
      </c>
      <c r="B237" s="10" t="s">
        <v>41</v>
      </c>
      <c r="C237" s="10" t="s">
        <v>871</v>
      </c>
      <c r="D237" s="10" t="s">
        <v>879</v>
      </c>
      <c r="E237" s="10" t="s">
        <v>873</v>
      </c>
      <c r="F237" s="10" t="s">
        <v>715</v>
      </c>
      <c r="G237" s="10" t="s">
        <v>113</v>
      </c>
      <c r="H237" s="10" t="s">
        <v>880</v>
      </c>
      <c r="I237" s="10" t="s">
        <v>63</v>
      </c>
      <c r="J237" s="10" t="s">
        <v>443</v>
      </c>
      <c r="K237" s="10" t="s">
        <v>12</v>
      </c>
      <c r="L237" s="10" t="s">
        <v>116</v>
      </c>
      <c r="M237" s="10" t="s">
        <v>66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">
      <c r="A238" s="10" t="s">
        <v>881</v>
      </c>
      <c r="B238" s="10" t="s">
        <v>41</v>
      </c>
      <c r="C238" s="10" t="s">
        <v>871</v>
      </c>
      <c r="D238" s="10" t="s">
        <v>882</v>
      </c>
      <c r="E238" s="10" t="s">
        <v>873</v>
      </c>
      <c r="F238" s="10" t="s">
        <v>715</v>
      </c>
      <c r="G238" s="10" t="s">
        <v>61</v>
      </c>
      <c r="H238" s="10" t="s">
        <v>883</v>
      </c>
      <c r="I238" s="10" t="s">
        <v>63</v>
      </c>
      <c r="J238" s="10" t="s">
        <v>443</v>
      </c>
      <c r="K238" s="10" t="s">
        <v>12</v>
      </c>
      <c r="L238" s="10" t="s">
        <v>65</v>
      </c>
      <c r="M238" s="10" t="s">
        <v>66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">
      <c r="A239" s="10" t="s">
        <v>884</v>
      </c>
      <c r="B239" s="10" t="s">
        <v>41</v>
      </c>
      <c r="C239" s="10" t="s">
        <v>871</v>
      </c>
      <c r="D239" s="10" t="s">
        <v>885</v>
      </c>
      <c r="E239" s="10" t="s">
        <v>873</v>
      </c>
      <c r="F239" s="10" t="s">
        <v>715</v>
      </c>
      <c r="G239" s="10" t="s">
        <v>61</v>
      </c>
      <c r="H239" s="10" t="s">
        <v>886</v>
      </c>
      <c r="I239" s="10" t="s">
        <v>63</v>
      </c>
      <c r="J239" s="10" t="s">
        <v>443</v>
      </c>
      <c r="K239" s="10" t="s">
        <v>12</v>
      </c>
      <c r="L239" s="10" t="s">
        <v>65</v>
      </c>
      <c r="M239" s="10" t="s">
        <v>66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">
      <c r="A240" s="10" t="s">
        <v>887</v>
      </c>
      <c r="B240" s="10" t="s">
        <v>41</v>
      </c>
      <c r="C240" s="10" t="s">
        <v>871</v>
      </c>
      <c r="D240" s="10" t="s">
        <v>888</v>
      </c>
      <c r="E240" s="10" t="s">
        <v>873</v>
      </c>
      <c r="F240" s="10" t="s">
        <v>715</v>
      </c>
      <c r="G240" s="10" t="s">
        <v>113</v>
      </c>
      <c r="H240" s="10" t="s">
        <v>889</v>
      </c>
      <c r="I240" s="10" t="s">
        <v>115</v>
      </c>
      <c r="J240" s="10" t="s">
        <v>443</v>
      </c>
      <c r="K240" s="10" t="s">
        <v>12</v>
      </c>
      <c r="L240" s="10" t="s">
        <v>116</v>
      </c>
      <c r="M240" s="10" t="s">
        <v>66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">
      <c r="A241" s="10" t="s">
        <v>890</v>
      </c>
      <c r="B241" s="10" t="s">
        <v>41</v>
      </c>
      <c r="C241" s="10" t="s">
        <v>871</v>
      </c>
      <c r="D241" s="10" t="s">
        <v>891</v>
      </c>
      <c r="E241" s="10" t="s">
        <v>873</v>
      </c>
      <c r="F241" s="10" t="s">
        <v>715</v>
      </c>
      <c r="G241" s="10" t="s">
        <v>61</v>
      </c>
      <c r="H241" s="10" t="s">
        <v>892</v>
      </c>
      <c r="I241" s="10" t="s">
        <v>63</v>
      </c>
      <c r="J241" s="10" t="s">
        <v>443</v>
      </c>
      <c r="K241" s="10" t="s">
        <v>15</v>
      </c>
      <c r="L241" s="10" t="s">
        <v>65</v>
      </c>
      <c r="M241" s="10" t="s">
        <v>66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">
      <c r="A242" s="10" t="s">
        <v>893</v>
      </c>
      <c r="B242" s="10" t="s">
        <v>41</v>
      </c>
      <c r="C242" s="10" t="s">
        <v>871</v>
      </c>
      <c r="D242" s="10" t="s">
        <v>894</v>
      </c>
      <c r="E242" s="10" t="s">
        <v>873</v>
      </c>
      <c r="F242" s="10" t="s">
        <v>715</v>
      </c>
      <c r="G242" s="10" t="s">
        <v>61</v>
      </c>
      <c r="H242" s="10" t="s">
        <v>895</v>
      </c>
      <c r="I242" s="10" t="s">
        <v>63</v>
      </c>
      <c r="J242" s="10" t="s">
        <v>443</v>
      </c>
      <c r="K242" s="10" t="s">
        <v>15</v>
      </c>
      <c r="L242" s="10" t="s">
        <v>65</v>
      </c>
      <c r="M242" s="10" t="s">
        <v>66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">
      <c r="A243" s="10" t="s">
        <v>896</v>
      </c>
      <c r="B243" s="10" t="s">
        <v>41</v>
      </c>
      <c r="C243" s="10" t="s">
        <v>871</v>
      </c>
      <c r="D243" s="10" t="s">
        <v>897</v>
      </c>
      <c r="E243" s="10" t="s">
        <v>873</v>
      </c>
      <c r="F243" s="10" t="s">
        <v>715</v>
      </c>
      <c r="G243" s="10" t="s">
        <v>113</v>
      </c>
      <c r="H243" s="10" t="s">
        <v>898</v>
      </c>
      <c r="I243" s="10" t="s">
        <v>115</v>
      </c>
      <c r="J243" s="10" t="s">
        <v>443</v>
      </c>
      <c r="K243" s="10" t="s">
        <v>15</v>
      </c>
      <c r="L243" s="10" t="s">
        <v>116</v>
      </c>
      <c r="M243" s="10" t="s">
        <v>66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">
      <c r="A244" s="10" t="s">
        <v>899</v>
      </c>
      <c r="B244" s="10" t="s">
        <v>41</v>
      </c>
      <c r="C244" s="10" t="s">
        <v>871</v>
      </c>
      <c r="D244" s="10" t="s">
        <v>900</v>
      </c>
      <c r="E244" s="10" t="s">
        <v>873</v>
      </c>
      <c r="F244" s="10" t="s">
        <v>715</v>
      </c>
      <c r="G244" s="10" t="s">
        <v>61</v>
      </c>
      <c r="H244" s="10" t="s">
        <v>901</v>
      </c>
      <c r="I244" s="10" t="s">
        <v>63</v>
      </c>
      <c r="J244" s="10" t="s">
        <v>443</v>
      </c>
      <c r="K244" s="10" t="s">
        <v>15</v>
      </c>
      <c r="L244" s="10" t="s">
        <v>65</v>
      </c>
      <c r="M244" s="10" t="s">
        <v>66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">
      <c r="A245" s="10" t="s">
        <v>902</v>
      </c>
      <c r="B245" s="10" t="s">
        <v>41</v>
      </c>
      <c r="C245" s="10" t="s">
        <v>871</v>
      </c>
      <c r="D245" s="10" t="s">
        <v>903</v>
      </c>
      <c r="E245" s="10" t="s">
        <v>873</v>
      </c>
      <c r="F245" s="10" t="s">
        <v>715</v>
      </c>
      <c r="G245" s="10" t="s">
        <v>61</v>
      </c>
      <c r="H245" s="10" t="s">
        <v>904</v>
      </c>
      <c r="I245" s="10" t="s">
        <v>246</v>
      </c>
      <c r="J245" s="10" t="s">
        <v>664</v>
      </c>
      <c r="K245" s="10" t="s">
        <v>15</v>
      </c>
      <c r="L245" s="10" t="s">
        <v>65</v>
      </c>
      <c r="M245" s="10" t="s">
        <v>66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">
      <c r="A246" s="10" t="s">
        <v>905</v>
      </c>
      <c r="B246" s="10" t="s">
        <v>41</v>
      </c>
      <c r="C246" s="10" t="s">
        <v>871</v>
      </c>
      <c r="D246" s="10" t="s">
        <v>906</v>
      </c>
      <c r="E246" s="10" t="s">
        <v>873</v>
      </c>
      <c r="F246" s="10" t="s">
        <v>715</v>
      </c>
      <c r="G246" s="10" t="s">
        <v>125</v>
      </c>
      <c r="H246" s="10" t="s">
        <v>907</v>
      </c>
      <c r="I246" s="10" t="s">
        <v>96</v>
      </c>
      <c r="J246" s="10" t="s">
        <v>443</v>
      </c>
      <c r="K246" s="10" t="s">
        <v>15</v>
      </c>
      <c r="L246" s="10" t="s">
        <v>127</v>
      </c>
      <c r="M246" s="10" t="s">
        <v>66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">
      <c r="A247" s="10" t="s">
        <v>908</v>
      </c>
      <c r="B247" s="10" t="s">
        <v>42</v>
      </c>
      <c r="C247" s="10" t="s">
        <v>909</v>
      </c>
      <c r="D247" s="10" t="s">
        <v>910</v>
      </c>
      <c r="E247" s="10" t="s">
        <v>911</v>
      </c>
      <c r="F247" s="10" t="s">
        <v>150</v>
      </c>
      <c r="G247" s="10" t="s">
        <v>244</v>
      </c>
      <c r="H247" s="10" t="s">
        <v>912</v>
      </c>
      <c r="I247" s="10" t="s">
        <v>246</v>
      </c>
      <c r="J247" s="10" t="s">
        <v>64</v>
      </c>
      <c r="K247" s="10" t="s">
        <v>9</v>
      </c>
      <c r="L247" s="10" t="s">
        <v>244</v>
      </c>
      <c r="M247" s="10" t="s">
        <v>66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">
      <c r="A248" s="10" t="s">
        <v>913</v>
      </c>
      <c r="B248" s="10" t="s">
        <v>42</v>
      </c>
      <c r="C248" s="10" t="s">
        <v>909</v>
      </c>
      <c r="D248" s="10" t="s">
        <v>914</v>
      </c>
      <c r="E248" s="10" t="s">
        <v>911</v>
      </c>
      <c r="F248" s="10" t="s">
        <v>150</v>
      </c>
      <c r="G248" s="10" t="s">
        <v>107</v>
      </c>
      <c r="H248" s="10" t="s">
        <v>915</v>
      </c>
      <c r="I248" s="10" t="s">
        <v>436</v>
      </c>
      <c r="J248" s="10" t="s">
        <v>64</v>
      </c>
      <c r="K248" s="10" t="s">
        <v>9</v>
      </c>
      <c r="L248" s="10" t="s">
        <v>110</v>
      </c>
      <c r="M248" s="10" t="s">
        <v>66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">
      <c r="A249" s="10" t="s">
        <v>916</v>
      </c>
      <c r="B249" s="10" t="s">
        <v>42</v>
      </c>
      <c r="C249" s="10" t="s">
        <v>909</v>
      </c>
      <c r="D249" s="10" t="s">
        <v>917</v>
      </c>
      <c r="E249" s="10" t="s">
        <v>911</v>
      </c>
      <c r="F249" s="10" t="s">
        <v>150</v>
      </c>
      <c r="G249" s="10" t="s">
        <v>113</v>
      </c>
      <c r="H249" s="10" t="s">
        <v>918</v>
      </c>
      <c r="I249" s="10" t="s">
        <v>115</v>
      </c>
      <c r="J249" s="10" t="s">
        <v>64</v>
      </c>
      <c r="K249" s="10" t="s">
        <v>9</v>
      </c>
      <c r="L249" s="10" t="s">
        <v>116</v>
      </c>
      <c r="M249" s="10" t="s">
        <v>66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">
      <c r="A250" s="10" t="s">
        <v>919</v>
      </c>
      <c r="B250" s="10" t="s">
        <v>42</v>
      </c>
      <c r="C250" s="10" t="s">
        <v>909</v>
      </c>
      <c r="D250" s="10" t="s">
        <v>920</v>
      </c>
      <c r="E250" s="10" t="s">
        <v>911</v>
      </c>
      <c r="F250" s="10" t="s">
        <v>150</v>
      </c>
      <c r="G250" s="10" t="s">
        <v>61</v>
      </c>
      <c r="H250" s="10" t="s">
        <v>921</v>
      </c>
      <c r="I250" s="10" t="s">
        <v>63</v>
      </c>
      <c r="J250" s="10" t="s">
        <v>331</v>
      </c>
      <c r="K250" s="10" t="s">
        <v>12</v>
      </c>
      <c r="L250" s="10" t="s">
        <v>65</v>
      </c>
      <c r="M250" s="10" t="s">
        <v>66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">
      <c r="A251" s="10" t="s">
        <v>922</v>
      </c>
      <c r="B251" s="10" t="s">
        <v>42</v>
      </c>
      <c r="C251" s="10" t="s">
        <v>909</v>
      </c>
      <c r="D251" s="10" t="s">
        <v>923</v>
      </c>
      <c r="E251" s="10" t="s">
        <v>924</v>
      </c>
      <c r="F251" s="10" t="s">
        <v>150</v>
      </c>
      <c r="G251" s="10" t="s">
        <v>107</v>
      </c>
      <c r="H251" s="10" t="s">
        <v>925</v>
      </c>
      <c r="I251" s="10" t="s">
        <v>109</v>
      </c>
      <c r="J251" s="10" t="s">
        <v>64</v>
      </c>
      <c r="K251" s="10" t="s">
        <v>12</v>
      </c>
      <c r="L251" s="10" t="s">
        <v>110</v>
      </c>
      <c r="M251" s="10" t="s">
        <v>66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">
      <c r="A252" s="10" t="s">
        <v>926</v>
      </c>
      <c r="B252" s="10" t="s">
        <v>42</v>
      </c>
      <c r="C252" s="10" t="s">
        <v>909</v>
      </c>
      <c r="D252" s="10" t="s">
        <v>927</v>
      </c>
      <c r="E252" s="10" t="s">
        <v>924</v>
      </c>
      <c r="F252" s="10" t="s">
        <v>150</v>
      </c>
      <c r="G252" s="10" t="s">
        <v>61</v>
      </c>
      <c r="H252" s="10" t="s">
        <v>928</v>
      </c>
      <c r="I252" s="10" t="s">
        <v>246</v>
      </c>
      <c r="J252" s="10" t="s">
        <v>664</v>
      </c>
      <c r="K252" s="10" t="s">
        <v>12</v>
      </c>
      <c r="L252" s="10" t="s">
        <v>65</v>
      </c>
      <c r="M252" s="10" t="s">
        <v>66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">
      <c r="A253" s="10" t="s">
        <v>929</v>
      </c>
      <c r="B253" s="10" t="s">
        <v>42</v>
      </c>
      <c r="C253" s="10" t="s">
        <v>909</v>
      </c>
      <c r="D253" s="10" t="s">
        <v>930</v>
      </c>
      <c r="E253" s="10" t="s">
        <v>931</v>
      </c>
      <c r="F253" s="10" t="s">
        <v>150</v>
      </c>
      <c r="G253" s="10" t="s">
        <v>101</v>
      </c>
      <c r="H253" s="10" t="s">
        <v>932</v>
      </c>
      <c r="I253" s="10" t="s">
        <v>103</v>
      </c>
      <c r="J253" s="10" t="s">
        <v>64</v>
      </c>
      <c r="K253" s="10" t="s">
        <v>12</v>
      </c>
      <c r="L253" s="10" t="s">
        <v>104</v>
      </c>
      <c r="M253" s="10" t="s">
        <v>66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">
      <c r="A254" s="10" t="s">
        <v>933</v>
      </c>
      <c r="B254" s="10" t="s">
        <v>42</v>
      </c>
      <c r="C254" s="10" t="s">
        <v>909</v>
      </c>
      <c r="D254" s="10" t="s">
        <v>934</v>
      </c>
      <c r="E254" s="10" t="s">
        <v>931</v>
      </c>
      <c r="F254" s="10" t="s">
        <v>150</v>
      </c>
      <c r="G254" s="10" t="s">
        <v>61</v>
      </c>
      <c r="H254" s="10" t="s">
        <v>935</v>
      </c>
      <c r="I254" s="10" t="s">
        <v>63</v>
      </c>
      <c r="J254" s="10" t="s">
        <v>64</v>
      </c>
      <c r="K254" s="10" t="s">
        <v>15</v>
      </c>
      <c r="L254" s="10" t="s">
        <v>65</v>
      </c>
      <c r="M254" s="10" t="s">
        <v>66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">
      <c r="A255" s="10" t="s">
        <v>936</v>
      </c>
      <c r="B255" s="10" t="s">
        <v>42</v>
      </c>
      <c r="C255" s="10" t="s">
        <v>909</v>
      </c>
      <c r="D255" s="10" t="s">
        <v>937</v>
      </c>
      <c r="E255" s="10" t="s">
        <v>931</v>
      </c>
      <c r="F255" s="10" t="s">
        <v>150</v>
      </c>
      <c r="G255" s="10" t="s">
        <v>61</v>
      </c>
      <c r="H255" s="10" t="s">
        <v>938</v>
      </c>
      <c r="I255" s="10" t="s">
        <v>63</v>
      </c>
      <c r="J255" s="10" t="s">
        <v>64</v>
      </c>
      <c r="K255" s="10" t="s">
        <v>15</v>
      </c>
      <c r="L255" s="10" t="s">
        <v>65</v>
      </c>
      <c r="M255" s="10" t="s">
        <v>66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">
      <c r="A256" s="10" t="s">
        <v>939</v>
      </c>
      <c r="B256" s="10" t="s">
        <v>42</v>
      </c>
      <c r="C256" s="10" t="s">
        <v>909</v>
      </c>
      <c r="D256" s="10" t="s">
        <v>940</v>
      </c>
      <c r="E256" s="10" t="s">
        <v>911</v>
      </c>
      <c r="F256" s="10" t="s">
        <v>150</v>
      </c>
      <c r="G256" s="10" t="s">
        <v>113</v>
      </c>
      <c r="H256" s="10" t="s">
        <v>941</v>
      </c>
      <c r="I256" s="10" t="s">
        <v>115</v>
      </c>
      <c r="J256" s="10" t="s">
        <v>64</v>
      </c>
      <c r="K256" s="10" t="s">
        <v>15</v>
      </c>
      <c r="L256" s="10" t="s">
        <v>116</v>
      </c>
      <c r="M256" s="10" t="s">
        <v>66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">
      <c r="A257" s="10" t="s">
        <v>942</v>
      </c>
      <c r="B257" s="10" t="s">
        <v>43</v>
      </c>
      <c r="C257" s="10" t="s">
        <v>302</v>
      </c>
      <c r="D257" s="10" t="s">
        <v>943</v>
      </c>
      <c r="E257" s="10" t="s">
        <v>944</v>
      </c>
      <c r="F257" s="10" t="s">
        <v>150</v>
      </c>
      <c r="G257" s="10" t="s">
        <v>61</v>
      </c>
      <c r="H257" s="10" t="s">
        <v>945</v>
      </c>
      <c r="I257" s="10" t="s">
        <v>63</v>
      </c>
      <c r="J257" s="10" t="s">
        <v>260</v>
      </c>
      <c r="K257" s="10" t="s">
        <v>9</v>
      </c>
      <c r="L257" s="10" t="s">
        <v>65</v>
      </c>
      <c r="M257" s="10" t="s">
        <v>66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">
      <c r="A258" s="10" t="s">
        <v>946</v>
      </c>
      <c r="B258" s="10" t="s">
        <v>43</v>
      </c>
      <c r="C258" s="10" t="s">
        <v>302</v>
      </c>
      <c r="D258" s="10" t="s">
        <v>303</v>
      </c>
      <c r="E258" s="10" t="s">
        <v>947</v>
      </c>
      <c r="F258" s="10" t="s">
        <v>150</v>
      </c>
      <c r="G258" s="10" t="s">
        <v>61</v>
      </c>
      <c r="H258" s="10" t="s">
        <v>948</v>
      </c>
      <c r="I258" s="10" t="s">
        <v>63</v>
      </c>
      <c r="J258" s="10" t="s">
        <v>270</v>
      </c>
      <c r="K258" s="10" t="s">
        <v>9</v>
      </c>
      <c r="L258" s="10" t="s">
        <v>65</v>
      </c>
      <c r="M258" s="10" t="s">
        <v>66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">
      <c r="A259" s="10" t="s">
        <v>949</v>
      </c>
      <c r="B259" s="10" t="s">
        <v>43</v>
      </c>
      <c r="C259" s="10" t="s">
        <v>302</v>
      </c>
      <c r="D259" s="10" t="s">
        <v>950</v>
      </c>
      <c r="E259" s="10" t="s">
        <v>951</v>
      </c>
      <c r="F259" s="10" t="s">
        <v>150</v>
      </c>
      <c r="G259" s="10" t="s">
        <v>61</v>
      </c>
      <c r="H259" s="10" t="s">
        <v>952</v>
      </c>
      <c r="I259" s="10" t="s">
        <v>63</v>
      </c>
      <c r="J259" s="10" t="s">
        <v>362</v>
      </c>
      <c r="K259" s="10" t="s">
        <v>12</v>
      </c>
      <c r="L259" s="10" t="s">
        <v>65</v>
      </c>
      <c r="M259" s="10" t="s">
        <v>66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">
      <c r="A260" s="10" t="s">
        <v>953</v>
      </c>
      <c r="B260" s="10" t="s">
        <v>43</v>
      </c>
      <c r="C260" s="10" t="s">
        <v>302</v>
      </c>
      <c r="D260" s="10" t="s">
        <v>954</v>
      </c>
      <c r="E260" s="10" t="s">
        <v>944</v>
      </c>
      <c r="F260" s="10" t="s">
        <v>150</v>
      </c>
      <c r="G260" s="10" t="s">
        <v>61</v>
      </c>
      <c r="H260" s="10" t="s">
        <v>955</v>
      </c>
      <c r="I260" s="10" t="s">
        <v>956</v>
      </c>
      <c r="J260" s="10" t="s">
        <v>64</v>
      </c>
      <c r="K260" s="10" t="s">
        <v>12</v>
      </c>
      <c r="L260" s="10" t="s">
        <v>65</v>
      </c>
      <c r="M260" s="10" t="s">
        <v>66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">
      <c r="A261" s="10" t="s">
        <v>957</v>
      </c>
      <c r="B261" s="10" t="s">
        <v>43</v>
      </c>
      <c r="C261" s="10" t="s">
        <v>302</v>
      </c>
      <c r="D261" s="10" t="s">
        <v>958</v>
      </c>
      <c r="E261" s="10" t="s">
        <v>944</v>
      </c>
      <c r="F261" s="10" t="s">
        <v>150</v>
      </c>
      <c r="G261" s="10" t="s">
        <v>143</v>
      </c>
      <c r="H261" s="10" t="s">
        <v>959</v>
      </c>
      <c r="I261" s="10" t="s">
        <v>63</v>
      </c>
      <c r="J261" s="10" t="s">
        <v>260</v>
      </c>
      <c r="K261" s="10" t="s">
        <v>12</v>
      </c>
      <c r="L261" s="10" t="s">
        <v>145</v>
      </c>
      <c r="M261" s="10" t="s">
        <v>66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">
      <c r="A262" s="10" t="s">
        <v>960</v>
      </c>
      <c r="B262" s="10" t="s">
        <v>43</v>
      </c>
      <c r="C262" s="10" t="s">
        <v>302</v>
      </c>
      <c r="D262" s="10" t="s">
        <v>961</v>
      </c>
      <c r="E262" s="10" t="s">
        <v>944</v>
      </c>
      <c r="F262" s="10" t="s">
        <v>150</v>
      </c>
      <c r="G262" s="10" t="s">
        <v>107</v>
      </c>
      <c r="H262" s="10" t="s">
        <v>962</v>
      </c>
      <c r="I262" s="10" t="s">
        <v>63</v>
      </c>
      <c r="J262" s="10" t="s">
        <v>260</v>
      </c>
      <c r="K262" s="10" t="s">
        <v>15</v>
      </c>
      <c r="L262" s="10" t="s">
        <v>110</v>
      </c>
      <c r="M262" s="10" t="s">
        <v>66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">
      <c r="A263" s="10" t="s">
        <v>963</v>
      </c>
      <c r="B263" s="10" t="s">
        <v>43</v>
      </c>
      <c r="C263" s="10" t="s">
        <v>302</v>
      </c>
      <c r="D263" s="10" t="s">
        <v>964</v>
      </c>
      <c r="E263" s="10" t="s">
        <v>947</v>
      </c>
      <c r="F263" s="10" t="s">
        <v>150</v>
      </c>
      <c r="G263" s="10" t="s">
        <v>61</v>
      </c>
      <c r="H263" s="10" t="s">
        <v>965</v>
      </c>
      <c r="I263" s="10" t="s">
        <v>63</v>
      </c>
      <c r="J263" s="10" t="s">
        <v>260</v>
      </c>
      <c r="K263" s="10" t="s">
        <v>15</v>
      </c>
      <c r="L263" s="10" t="s">
        <v>65</v>
      </c>
      <c r="M263" s="10" t="s">
        <v>66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">
      <c r="A264" s="10" t="s">
        <v>966</v>
      </c>
      <c r="B264" s="10" t="s">
        <v>43</v>
      </c>
      <c r="C264" s="10" t="s">
        <v>302</v>
      </c>
      <c r="D264" s="10" t="s">
        <v>967</v>
      </c>
      <c r="E264" s="10" t="s">
        <v>944</v>
      </c>
      <c r="F264" s="10" t="s">
        <v>150</v>
      </c>
      <c r="G264" s="10" t="s">
        <v>113</v>
      </c>
      <c r="H264" s="10" t="s">
        <v>968</v>
      </c>
      <c r="I264" s="10" t="s">
        <v>115</v>
      </c>
      <c r="J264" s="10" t="s">
        <v>260</v>
      </c>
      <c r="K264" s="10" t="s">
        <v>15</v>
      </c>
      <c r="L264" s="10" t="s">
        <v>116</v>
      </c>
      <c r="M264" s="10" t="s">
        <v>66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">
      <c r="A265" s="10" t="s">
        <v>969</v>
      </c>
      <c r="B265" s="10" t="s">
        <v>44</v>
      </c>
      <c r="C265" s="10" t="s">
        <v>970</v>
      </c>
      <c r="D265" s="10" t="s">
        <v>971</v>
      </c>
      <c r="E265" s="10" t="s">
        <v>972</v>
      </c>
      <c r="F265" s="10" t="s">
        <v>150</v>
      </c>
      <c r="G265" s="10" t="s">
        <v>94</v>
      </c>
      <c r="H265" s="10" t="s">
        <v>973</v>
      </c>
      <c r="I265" s="10" t="s">
        <v>96</v>
      </c>
      <c r="J265" s="10" t="s">
        <v>97</v>
      </c>
      <c r="K265" s="10" t="s">
        <v>9</v>
      </c>
      <c r="L265" s="10" t="s">
        <v>98</v>
      </c>
      <c r="M265" s="10" t="s">
        <v>66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">
      <c r="A266" s="10" t="s">
        <v>974</v>
      </c>
      <c r="B266" s="10" t="s">
        <v>44</v>
      </c>
      <c r="C266" s="10" t="s">
        <v>970</v>
      </c>
      <c r="D266" s="10" t="s">
        <v>975</v>
      </c>
      <c r="E266" s="10" t="s">
        <v>972</v>
      </c>
      <c r="F266" s="10" t="s">
        <v>150</v>
      </c>
      <c r="G266" s="10" t="s">
        <v>125</v>
      </c>
      <c r="H266" s="10" t="s">
        <v>976</v>
      </c>
      <c r="I266" s="10" t="s">
        <v>96</v>
      </c>
      <c r="J266" s="10" t="s">
        <v>64</v>
      </c>
      <c r="K266" s="10" t="s">
        <v>9</v>
      </c>
      <c r="L266" s="10" t="s">
        <v>127</v>
      </c>
      <c r="M266" s="10" t="s">
        <v>66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">
      <c r="A267" s="10" t="s">
        <v>977</v>
      </c>
      <c r="B267" s="10" t="s">
        <v>44</v>
      </c>
      <c r="C267" s="10" t="s">
        <v>970</v>
      </c>
      <c r="D267" s="10" t="s">
        <v>978</v>
      </c>
      <c r="E267" s="10" t="s">
        <v>972</v>
      </c>
      <c r="F267" s="10" t="s">
        <v>150</v>
      </c>
      <c r="G267" s="10" t="s">
        <v>125</v>
      </c>
      <c r="H267" s="10" t="s">
        <v>979</v>
      </c>
      <c r="I267" s="10" t="s">
        <v>96</v>
      </c>
      <c r="J267" s="10" t="s">
        <v>270</v>
      </c>
      <c r="K267" s="10" t="s">
        <v>9</v>
      </c>
      <c r="L267" s="10" t="s">
        <v>127</v>
      </c>
      <c r="M267" s="10" t="s">
        <v>66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">
      <c r="A268" s="10" t="s">
        <v>980</v>
      </c>
      <c r="B268" s="10" t="s">
        <v>44</v>
      </c>
      <c r="C268" s="10" t="s">
        <v>970</v>
      </c>
      <c r="D268" s="10" t="s">
        <v>981</v>
      </c>
      <c r="E268" s="10" t="s">
        <v>972</v>
      </c>
      <c r="F268" s="10" t="s">
        <v>150</v>
      </c>
      <c r="G268" s="10" t="s">
        <v>61</v>
      </c>
      <c r="H268" s="10" t="s">
        <v>982</v>
      </c>
      <c r="I268" s="10" t="s">
        <v>63</v>
      </c>
      <c r="J268" s="10" t="s">
        <v>270</v>
      </c>
      <c r="K268" s="10" t="s">
        <v>9</v>
      </c>
      <c r="L268" s="10" t="s">
        <v>65</v>
      </c>
      <c r="M268" s="10" t="s">
        <v>66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">
      <c r="A269" s="10" t="s">
        <v>983</v>
      </c>
      <c r="B269" s="10" t="s">
        <v>44</v>
      </c>
      <c r="C269" s="10" t="s">
        <v>970</v>
      </c>
      <c r="D269" s="10" t="s">
        <v>984</v>
      </c>
      <c r="E269" s="10" t="s">
        <v>972</v>
      </c>
      <c r="F269" s="10" t="s">
        <v>150</v>
      </c>
      <c r="G269" s="10" t="s">
        <v>125</v>
      </c>
      <c r="H269" s="10" t="s">
        <v>985</v>
      </c>
      <c r="I269" s="10" t="s">
        <v>96</v>
      </c>
      <c r="J269" s="10" t="s">
        <v>461</v>
      </c>
      <c r="K269" s="10" t="s">
        <v>12</v>
      </c>
      <c r="L269" s="10" t="s">
        <v>127</v>
      </c>
      <c r="M269" s="10" t="s">
        <v>66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">
      <c r="A270" s="10" t="s">
        <v>986</v>
      </c>
      <c r="B270" s="10" t="s">
        <v>44</v>
      </c>
      <c r="C270" s="10" t="s">
        <v>970</v>
      </c>
      <c r="D270" s="10" t="s">
        <v>987</v>
      </c>
      <c r="E270" s="10" t="s">
        <v>972</v>
      </c>
      <c r="F270" s="10" t="s">
        <v>150</v>
      </c>
      <c r="G270" s="10" t="s">
        <v>125</v>
      </c>
      <c r="H270" s="10" t="s">
        <v>988</v>
      </c>
      <c r="I270" s="10" t="s">
        <v>96</v>
      </c>
      <c r="J270" s="10" t="s">
        <v>64</v>
      </c>
      <c r="K270" s="10" t="s">
        <v>12</v>
      </c>
      <c r="L270" s="10" t="s">
        <v>127</v>
      </c>
      <c r="M270" s="10" t="s">
        <v>66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">
      <c r="A271" s="10" t="s">
        <v>989</v>
      </c>
      <c r="B271" s="10" t="s">
        <v>44</v>
      </c>
      <c r="C271" s="10" t="s">
        <v>970</v>
      </c>
      <c r="D271" s="10" t="s">
        <v>990</v>
      </c>
      <c r="E271" s="10" t="s">
        <v>972</v>
      </c>
      <c r="F271" s="10" t="s">
        <v>150</v>
      </c>
      <c r="G271" s="10" t="s">
        <v>61</v>
      </c>
      <c r="H271" s="10" t="s">
        <v>991</v>
      </c>
      <c r="I271" s="10" t="s">
        <v>63</v>
      </c>
      <c r="J271" s="10" t="s">
        <v>64</v>
      </c>
      <c r="K271" s="10" t="s">
        <v>12</v>
      </c>
      <c r="L271" s="10" t="s">
        <v>65</v>
      </c>
      <c r="M271" s="10" t="s">
        <v>66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">
      <c r="A272" s="10" t="s">
        <v>992</v>
      </c>
      <c r="B272" s="10" t="s">
        <v>44</v>
      </c>
      <c r="C272" s="10" t="s">
        <v>970</v>
      </c>
      <c r="D272" s="10" t="s">
        <v>993</v>
      </c>
      <c r="E272" s="10" t="s">
        <v>972</v>
      </c>
      <c r="F272" s="10" t="s">
        <v>150</v>
      </c>
      <c r="G272" s="10" t="s">
        <v>61</v>
      </c>
      <c r="H272" s="10" t="s">
        <v>994</v>
      </c>
      <c r="I272" s="10" t="s">
        <v>63</v>
      </c>
      <c r="J272" s="10" t="s">
        <v>64</v>
      </c>
      <c r="K272" s="10" t="s">
        <v>12</v>
      </c>
      <c r="L272" s="10" t="s">
        <v>65</v>
      </c>
      <c r="M272" s="10" t="s">
        <v>66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">
      <c r="A273" s="10" t="s">
        <v>995</v>
      </c>
      <c r="B273" s="10" t="s">
        <v>44</v>
      </c>
      <c r="C273" s="10" t="s">
        <v>970</v>
      </c>
      <c r="D273" s="10" t="s">
        <v>996</v>
      </c>
      <c r="E273" s="10" t="s">
        <v>972</v>
      </c>
      <c r="F273" s="10" t="s">
        <v>150</v>
      </c>
      <c r="G273" s="10" t="s">
        <v>113</v>
      </c>
      <c r="H273" s="10" t="s">
        <v>997</v>
      </c>
      <c r="I273" s="10" t="s">
        <v>63</v>
      </c>
      <c r="J273" s="10" t="s">
        <v>176</v>
      </c>
      <c r="K273" s="10" t="s">
        <v>12</v>
      </c>
      <c r="L273" s="10" t="s">
        <v>116</v>
      </c>
      <c r="M273" s="10" t="s">
        <v>66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">
      <c r="A274" s="10" t="s">
        <v>998</v>
      </c>
      <c r="B274" s="10" t="s">
        <v>44</v>
      </c>
      <c r="C274" s="10" t="s">
        <v>970</v>
      </c>
      <c r="D274" s="10" t="s">
        <v>999</v>
      </c>
      <c r="E274" s="10" t="s">
        <v>972</v>
      </c>
      <c r="F274" s="10" t="s">
        <v>150</v>
      </c>
      <c r="G274" s="10" t="s">
        <v>107</v>
      </c>
      <c r="H274" s="10" t="s">
        <v>1000</v>
      </c>
      <c r="I274" s="10" t="s">
        <v>1001</v>
      </c>
      <c r="J274" s="10" t="s">
        <v>615</v>
      </c>
      <c r="K274" s="10" t="s">
        <v>12</v>
      </c>
      <c r="L274" s="10" t="s">
        <v>110</v>
      </c>
      <c r="M274" s="10" t="s">
        <v>66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">
      <c r="A275" s="10" t="s">
        <v>1002</v>
      </c>
      <c r="B275" s="10" t="s">
        <v>44</v>
      </c>
      <c r="C275" s="10" t="s">
        <v>970</v>
      </c>
      <c r="D275" s="10" t="s">
        <v>1003</v>
      </c>
      <c r="E275" s="10" t="s">
        <v>972</v>
      </c>
      <c r="F275" s="10" t="s">
        <v>150</v>
      </c>
      <c r="G275" s="10" t="s">
        <v>125</v>
      </c>
      <c r="H275" s="10" t="s">
        <v>1004</v>
      </c>
      <c r="I275" s="10" t="s">
        <v>96</v>
      </c>
      <c r="J275" s="10" t="s">
        <v>64</v>
      </c>
      <c r="K275" s="10" t="s">
        <v>15</v>
      </c>
      <c r="L275" s="10" t="s">
        <v>127</v>
      </c>
      <c r="M275" s="10" t="s">
        <v>66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">
      <c r="A276" s="10" t="s">
        <v>1005</v>
      </c>
      <c r="B276" s="10" t="s">
        <v>44</v>
      </c>
      <c r="C276" s="10" t="s">
        <v>970</v>
      </c>
      <c r="D276" s="10" t="s">
        <v>1006</v>
      </c>
      <c r="E276" s="10" t="s">
        <v>972</v>
      </c>
      <c r="F276" s="10" t="s">
        <v>150</v>
      </c>
      <c r="G276" s="10" t="s">
        <v>125</v>
      </c>
      <c r="H276" s="10" t="s">
        <v>1007</v>
      </c>
      <c r="I276" s="10" t="s">
        <v>96</v>
      </c>
      <c r="J276" s="10" t="s">
        <v>615</v>
      </c>
      <c r="K276" s="10" t="s">
        <v>15</v>
      </c>
      <c r="L276" s="10" t="s">
        <v>127</v>
      </c>
      <c r="M276" s="10" t="s">
        <v>66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">
      <c r="A277" s="10" t="s">
        <v>1008</v>
      </c>
      <c r="B277" s="10" t="s">
        <v>44</v>
      </c>
      <c r="C277" s="10" t="s">
        <v>970</v>
      </c>
      <c r="D277" s="10" t="s">
        <v>1009</v>
      </c>
      <c r="E277" s="10" t="s">
        <v>972</v>
      </c>
      <c r="F277" s="10" t="s">
        <v>150</v>
      </c>
      <c r="G277" s="10" t="s">
        <v>125</v>
      </c>
      <c r="H277" s="10" t="s">
        <v>1010</v>
      </c>
      <c r="I277" s="10" t="s">
        <v>96</v>
      </c>
      <c r="J277" s="10" t="s">
        <v>362</v>
      </c>
      <c r="K277" s="10" t="s">
        <v>15</v>
      </c>
      <c r="L277" s="10" t="s">
        <v>127</v>
      </c>
      <c r="M277" s="10" t="s">
        <v>66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">
      <c r="A278" s="10" t="s">
        <v>1011</v>
      </c>
      <c r="B278" s="10" t="s">
        <v>44</v>
      </c>
      <c r="C278" s="10" t="s">
        <v>970</v>
      </c>
      <c r="D278" s="10" t="s">
        <v>1012</v>
      </c>
      <c r="E278" s="10" t="s">
        <v>972</v>
      </c>
      <c r="F278" s="10" t="s">
        <v>150</v>
      </c>
      <c r="G278" s="10" t="s">
        <v>125</v>
      </c>
      <c r="H278" s="10" t="s">
        <v>1013</v>
      </c>
      <c r="I278" s="10" t="s">
        <v>96</v>
      </c>
      <c r="J278" s="10" t="s">
        <v>64</v>
      </c>
      <c r="K278" s="10" t="s">
        <v>15</v>
      </c>
      <c r="L278" s="10" t="s">
        <v>127</v>
      </c>
      <c r="M278" s="10" t="s">
        <v>66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">
      <c r="A279" s="10" t="s">
        <v>1014</v>
      </c>
      <c r="B279" s="10" t="s">
        <v>44</v>
      </c>
      <c r="C279" s="10" t="s">
        <v>970</v>
      </c>
      <c r="D279" s="10" t="s">
        <v>1015</v>
      </c>
      <c r="E279" s="10" t="s">
        <v>972</v>
      </c>
      <c r="F279" s="10" t="s">
        <v>150</v>
      </c>
      <c r="G279" s="10" t="s">
        <v>61</v>
      </c>
      <c r="H279" s="10" t="s">
        <v>1016</v>
      </c>
      <c r="I279" s="10" t="s">
        <v>63</v>
      </c>
      <c r="J279" s="10" t="s">
        <v>362</v>
      </c>
      <c r="K279" s="10" t="s">
        <v>15</v>
      </c>
      <c r="L279" s="10" t="s">
        <v>65</v>
      </c>
      <c r="M279" s="10" t="s">
        <v>66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">
      <c r="A280" s="10" t="s">
        <v>1017</v>
      </c>
      <c r="B280" s="10" t="s">
        <v>44</v>
      </c>
      <c r="C280" s="10" t="s">
        <v>970</v>
      </c>
      <c r="D280" s="10" t="s">
        <v>1018</v>
      </c>
      <c r="E280" s="10" t="s">
        <v>972</v>
      </c>
      <c r="F280" s="10" t="s">
        <v>150</v>
      </c>
      <c r="G280" s="10" t="s">
        <v>125</v>
      </c>
      <c r="H280" s="10" t="s">
        <v>1019</v>
      </c>
      <c r="I280" s="10" t="s">
        <v>96</v>
      </c>
      <c r="J280" s="10" t="s">
        <v>717</v>
      </c>
      <c r="K280" s="10" t="s">
        <v>15</v>
      </c>
      <c r="L280" s="10" t="s">
        <v>127</v>
      </c>
      <c r="M280" s="10" t="s">
        <v>66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">
      <c r="A281" s="10" t="s">
        <v>1020</v>
      </c>
      <c r="B281" s="10" t="s">
        <v>44</v>
      </c>
      <c r="C281" s="10" t="s">
        <v>970</v>
      </c>
      <c r="D281" s="10" t="s">
        <v>1021</v>
      </c>
      <c r="E281" s="10" t="s">
        <v>972</v>
      </c>
      <c r="F281" s="10" t="s">
        <v>150</v>
      </c>
      <c r="G281" s="10" t="s">
        <v>125</v>
      </c>
      <c r="H281" s="10" t="s">
        <v>1022</v>
      </c>
      <c r="I281" s="10" t="s">
        <v>96</v>
      </c>
      <c r="J281" s="10" t="s">
        <v>664</v>
      </c>
      <c r="K281" s="10" t="s">
        <v>15</v>
      </c>
      <c r="L281" s="10" t="s">
        <v>127</v>
      </c>
      <c r="M281" s="10" t="s">
        <v>66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">
      <c r="A282" s="10" t="s">
        <v>1023</v>
      </c>
      <c r="B282" s="10" t="s">
        <v>44</v>
      </c>
      <c r="C282" s="10" t="s">
        <v>970</v>
      </c>
      <c r="D282" s="10" t="s">
        <v>1024</v>
      </c>
      <c r="E282" s="10" t="s">
        <v>972</v>
      </c>
      <c r="F282" s="10" t="s">
        <v>150</v>
      </c>
      <c r="G282" s="10" t="s">
        <v>125</v>
      </c>
      <c r="H282" s="10" t="s">
        <v>1025</v>
      </c>
      <c r="I282" s="10" t="s">
        <v>96</v>
      </c>
      <c r="J282" s="10" t="s">
        <v>443</v>
      </c>
      <c r="K282" s="10" t="s">
        <v>15</v>
      </c>
      <c r="L282" s="10" t="s">
        <v>127</v>
      </c>
      <c r="M282" s="10" t="s">
        <v>66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">
      <c r="A283" s="10" t="s">
        <v>1026</v>
      </c>
      <c r="B283" s="10" t="s">
        <v>44</v>
      </c>
      <c r="C283" s="10" t="s">
        <v>970</v>
      </c>
      <c r="D283" s="10" t="s">
        <v>1027</v>
      </c>
      <c r="E283" s="10" t="s">
        <v>972</v>
      </c>
      <c r="F283" s="10" t="s">
        <v>150</v>
      </c>
      <c r="G283" s="10" t="s">
        <v>125</v>
      </c>
      <c r="H283" s="10" t="s">
        <v>1028</v>
      </c>
      <c r="I283" s="10" t="s">
        <v>96</v>
      </c>
      <c r="J283" s="10" t="s">
        <v>64</v>
      </c>
      <c r="K283" s="10" t="s">
        <v>15</v>
      </c>
      <c r="L283" s="10" t="s">
        <v>127</v>
      </c>
      <c r="M283" s="10" t="s">
        <v>66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">
      <c r="A284" s="10" t="s">
        <v>1029</v>
      </c>
      <c r="B284" s="10" t="s">
        <v>44</v>
      </c>
      <c r="C284" s="10" t="s">
        <v>970</v>
      </c>
      <c r="D284" s="10" t="s">
        <v>1030</v>
      </c>
      <c r="E284" s="10" t="s">
        <v>972</v>
      </c>
      <c r="F284" s="10" t="s">
        <v>150</v>
      </c>
      <c r="G284" s="10" t="s">
        <v>125</v>
      </c>
      <c r="H284" s="10" t="s">
        <v>1031</v>
      </c>
      <c r="I284" s="10" t="s">
        <v>96</v>
      </c>
      <c r="J284" s="10" t="s">
        <v>64</v>
      </c>
      <c r="K284" s="10" t="s">
        <v>15</v>
      </c>
      <c r="L284" s="10" t="s">
        <v>127</v>
      </c>
      <c r="M284" s="10" t="s">
        <v>66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">
      <c r="A285" s="10" t="s">
        <v>1032</v>
      </c>
      <c r="B285" s="10" t="s">
        <v>45</v>
      </c>
      <c r="C285" s="10" t="s">
        <v>1033</v>
      </c>
      <c r="D285" s="10" t="s">
        <v>1034</v>
      </c>
      <c r="E285" s="10" t="s">
        <v>1035</v>
      </c>
      <c r="F285" s="10" t="s">
        <v>150</v>
      </c>
      <c r="G285" s="10" t="s">
        <v>61</v>
      </c>
      <c r="H285" s="10" t="s">
        <v>1036</v>
      </c>
      <c r="I285" s="10" t="s">
        <v>63</v>
      </c>
      <c r="J285" s="10" t="s">
        <v>70</v>
      </c>
      <c r="K285" s="10" t="s">
        <v>9</v>
      </c>
      <c r="L285" s="10" t="s">
        <v>65</v>
      </c>
      <c r="M285" s="10" t="s">
        <v>66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">
      <c r="A286" s="10" t="s">
        <v>1037</v>
      </c>
      <c r="B286" s="10" t="s">
        <v>45</v>
      </c>
      <c r="C286" s="10" t="s">
        <v>1033</v>
      </c>
      <c r="D286" s="10" t="s">
        <v>1038</v>
      </c>
      <c r="E286" s="10" t="s">
        <v>1035</v>
      </c>
      <c r="F286" s="10" t="s">
        <v>150</v>
      </c>
      <c r="G286" s="10" t="s">
        <v>143</v>
      </c>
      <c r="H286" s="10" t="s">
        <v>1039</v>
      </c>
      <c r="I286" s="10" t="s">
        <v>63</v>
      </c>
      <c r="J286" s="10" t="s">
        <v>70</v>
      </c>
      <c r="K286" s="10" t="s">
        <v>9</v>
      </c>
      <c r="L286" s="10" t="s">
        <v>145</v>
      </c>
      <c r="M286" s="10" t="s">
        <v>66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">
      <c r="A287" s="10" t="s">
        <v>1040</v>
      </c>
      <c r="B287" s="10" t="s">
        <v>45</v>
      </c>
      <c r="C287" s="10" t="s">
        <v>1033</v>
      </c>
      <c r="D287" s="10" t="s">
        <v>1041</v>
      </c>
      <c r="E287" s="10" t="s">
        <v>1035</v>
      </c>
      <c r="F287" s="10" t="s">
        <v>150</v>
      </c>
      <c r="G287" s="10" t="s">
        <v>143</v>
      </c>
      <c r="H287" s="10" t="s">
        <v>1042</v>
      </c>
      <c r="I287" s="10" t="s">
        <v>63</v>
      </c>
      <c r="J287" s="10" t="s">
        <v>70</v>
      </c>
      <c r="K287" s="10" t="s">
        <v>9</v>
      </c>
      <c r="L287" s="10" t="s">
        <v>145</v>
      </c>
      <c r="M287" s="10" t="s">
        <v>66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">
      <c r="A288" s="10" t="s">
        <v>1043</v>
      </c>
      <c r="B288" s="10" t="s">
        <v>45</v>
      </c>
      <c r="C288" s="10" t="s">
        <v>1033</v>
      </c>
      <c r="D288" s="10" t="s">
        <v>1044</v>
      </c>
      <c r="E288" s="10" t="s">
        <v>1035</v>
      </c>
      <c r="F288" s="10" t="s">
        <v>150</v>
      </c>
      <c r="G288" s="10" t="s">
        <v>61</v>
      </c>
      <c r="H288" s="10" t="s">
        <v>1045</v>
      </c>
      <c r="I288" s="10" t="s">
        <v>63</v>
      </c>
      <c r="J288" s="10" t="s">
        <v>70</v>
      </c>
      <c r="K288" s="10" t="s">
        <v>9</v>
      </c>
      <c r="L288" s="10" t="s">
        <v>65</v>
      </c>
      <c r="M288" s="10" t="s">
        <v>66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">
      <c r="A289" s="10" t="s">
        <v>1046</v>
      </c>
      <c r="B289" s="10" t="s">
        <v>45</v>
      </c>
      <c r="C289" s="10" t="s">
        <v>1033</v>
      </c>
      <c r="D289" s="10" t="s">
        <v>1047</v>
      </c>
      <c r="E289" s="10" t="s">
        <v>1035</v>
      </c>
      <c r="F289" s="10" t="s">
        <v>150</v>
      </c>
      <c r="G289" s="10" t="s">
        <v>61</v>
      </c>
      <c r="H289" s="10" t="s">
        <v>1048</v>
      </c>
      <c r="I289" s="10" t="s">
        <v>63</v>
      </c>
      <c r="J289" s="10" t="s">
        <v>70</v>
      </c>
      <c r="K289" s="10" t="s">
        <v>9</v>
      </c>
      <c r="L289" s="10" t="s">
        <v>65</v>
      </c>
      <c r="M289" s="10" t="s">
        <v>66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">
      <c r="A290" s="10" t="s">
        <v>1049</v>
      </c>
      <c r="B290" s="10" t="s">
        <v>45</v>
      </c>
      <c r="C290" s="10" t="s">
        <v>1033</v>
      </c>
      <c r="D290" s="10" t="s">
        <v>1050</v>
      </c>
      <c r="E290" s="10" t="s">
        <v>1035</v>
      </c>
      <c r="F290" s="10" t="s">
        <v>150</v>
      </c>
      <c r="G290" s="10" t="s">
        <v>143</v>
      </c>
      <c r="H290" s="10" t="s">
        <v>1051</v>
      </c>
      <c r="I290" s="10" t="s">
        <v>63</v>
      </c>
      <c r="J290" s="10" t="s">
        <v>64</v>
      </c>
      <c r="K290" s="10" t="s">
        <v>12</v>
      </c>
      <c r="L290" s="10" t="s">
        <v>145</v>
      </c>
      <c r="M290" s="10" t="s">
        <v>66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">
      <c r="A291" s="10" t="s">
        <v>1052</v>
      </c>
      <c r="B291" s="10" t="s">
        <v>45</v>
      </c>
      <c r="C291" s="10" t="s">
        <v>1033</v>
      </c>
      <c r="D291" s="10" t="s">
        <v>1053</v>
      </c>
      <c r="E291" s="10" t="s">
        <v>1035</v>
      </c>
      <c r="F291" s="10" t="s">
        <v>150</v>
      </c>
      <c r="G291" s="10" t="s">
        <v>143</v>
      </c>
      <c r="H291" s="10" t="s">
        <v>1054</v>
      </c>
      <c r="I291" s="10" t="s">
        <v>63</v>
      </c>
      <c r="J291" s="10" t="s">
        <v>64</v>
      </c>
      <c r="K291" s="10" t="s">
        <v>12</v>
      </c>
      <c r="L291" s="10" t="s">
        <v>145</v>
      </c>
      <c r="M291" s="10" t="s">
        <v>66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">
      <c r="A292" s="10" t="s">
        <v>1055</v>
      </c>
      <c r="B292" s="10" t="s">
        <v>45</v>
      </c>
      <c r="C292" s="10" t="s">
        <v>1033</v>
      </c>
      <c r="D292" s="10" t="s">
        <v>1056</v>
      </c>
      <c r="E292" s="10" t="s">
        <v>1035</v>
      </c>
      <c r="F292" s="10" t="s">
        <v>150</v>
      </c>
      <c r="G292" s="10" t="s">
        <v>143</v>
      </c>
      <c r="H292" s="10" t="s">
        <v>1057</v>
      </c>
      <c r="I292" s="10" t="s">
        <v>63</v>
      </c>
      <c r="J292" s="10" t="s">
        <v>64</v>
      </c>
      <c r="K292" s="10" t="s">
        <v>12</v>
      </c>
      <c r="L292" s="10" t="s">
        <v>145</v>
      </c>
      <c r="M292" s="10" t="s">
        <v>66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">
      <c r="A293" s="10" t="s">
        <v>1058</v>
      </c>
      <c r="B293" s="10" t="s">
        <v>45</v>
      </c>
      <c r="C293" s="10" t="s">
        <v>1033</v>
      </c>
      <c r="D293" s="10" t="s">
        <v>1059</v>
      </c>
      <c r="E293" s="10" t="s">
        <v>1035</v>
      </c>
      <c r="F293" s="10" t="s">
        <v>150</v>
      </c>
      <c r="G293" s="10" t="s">
        <v>143</v>
      </c>
      <c r="H293" s="10" t="s">
        <v>1060</v>
      </c>
      <c r="I293" s="10" t="s">
        <v>63</v>
      </c>
      <c r="J293" s="10" t="s">
        <v>64</v>
      </c>
      <c r="K293" s="10" t="s">
        <v>15</v>
      </c>
      <c r="L293" s="10" t="s">
        <v>145</v>
      </c>
      <c r="M293" s="10" t="s">
        <v>66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">
      <c r="A294" s="10" t="s">
        <v>1061</v>
      </c>
      <c r="B294" s="10" t="s">
        <v>45</v>
      </c>
      <c r="C294" s="10" t="s">
        <v>1033</v>
      </c>
      <c r="D294" s="10" t="s">
        <v>1062</v>
      </c>
      <c r="E294" s="10" t="s">
        <v>1035</v>
      </c>
      <c r="F294" s="10" t="s">
        <v>150</v>
      </c>
      <c r="G294" s="10" t="s">
        <v>143</v>
      </c>
      <c r="H294" s="10" t="s">
        <v>1063</v>
      </c>
      <c r="I294" s="10" t="s">
        <v>63</v>
      </c>
      <c r="J294" s="10" t="s">
        <v>851</v>
      </c>
      <c r="K294" s="10" t="s">
        <v>15</v>
      </c>
      <c r="L294" s="10" t="s">
        <v>145</v>
      </c>
      <c r="M294" s="10" t="s">
        <v>66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">
      <c r="A295" s="10" t="s">
        <v>1064</v>
      </c>
      <c r="B295" s="10" t="s">
        <v>45</v>
      </c>
      <c r="C295" s="10" t="s">
        <v>1033</v>
      </c>
      <c r="D295" s="10" t="s">
        <v>1065</v>
      </c>
      <c r="E295" s="10" t="s">
        <v>1035</v>
      </c>
      <c r="F295" s="10" t="s">
        <v>150</v>
      </c>
      <c r="G295" s="10" t="s">
        <v>61</v>
      </c>
      <c r="H295" s="10" t="s">
        <v>1066</v>
      </c>
      <c r="I295" s="10" t="s">
        <v>63</v>
      </c>
      <c r="J295" s="10" t="s">
        <v>64</v>
      </c>
      <c r="K295" s="10" t="s">
        <v>15</v>
      </c>
      <c r="L295" s="10" t="s">
        <v>65</v>
      </c>
      <c r="M295" s="10" t="s">
        <v>66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">
      <c r="A296" s="11" t="s">
        <v>1067</v>
      </c>
      <c r="B296" s="11" t="s">
        <v>45</v>
      </c>
      <c r="C296" s="11" t="s">
        <v>1033</v>
      </c>
      <c r="D296" s="11" t="s">
        <v>1068</v>
      </c>
      <c r="E296" s="11" t="s">
        <v>1035</v>
      </c>
      <c r="F296" s="11" t="s">
        <v>150</v>
      </c>
      <c r="G296" s="11" t="s">
        <v>61</v>
      </c>
      <c r="H296" s="11" t="s">
        <v>1069</v>
      </c>
      <c r="I296" s="11" t="s">
        <v>586</v>
      </c>
      <c r="J296" s="11" t="s">
        <v>64</v>
      </c>
      <c r="K296" s="11" t="s">
        <v>15</v>
      </c>
      <c r="L296" s="11" t="s">
        <v>65</v>
      </c>
      <c r="M296" s="11" t="s">
        <v>66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</sheetData>
  <conditionalFormatting sqref="K2:K296">
    <cfRule type="expression" dxfId="2" priority="1">
      <formula>K2="MVP"</formula>
    </cfRule>
    <cfRule type="expression" dxfId="1" priority="2">
      <formula>K2="Phase 2"</formula>
    </cfRule>
    <cfRule type="expression" dxfId="0" priority="3">
      <formula>K2="Phase 3"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0"/>
  <sheetViews>
    <sheetView tabSelected="1" workbookViewId="0">
      <selection activeCell="A9" sqref="A9"/>
    </sheetView>
  </sheetViews>
  <sheetFormatPr defaultRowHeight="14"/>
  <cols>
    <col min="1" max="1" width="24" customWidth="1"/>
    <col min="2" max="2" width="22" customWidth="1"/>
    <col min="3" max="3" width="24" customWidth="1"/>
    <col min="4" max="4" width="44" customWidth="1"/>
    <col min="5" max="5" width="40" customWidth="1"/>
  </cols>
  <sheetData>
    <row r="1" spans="1:26">
      <c r="A1" s="36" t="s">
        <v>1070</v>
      </c>
      <c r="B1" s="36"/>
      <c r="C1" s="36"/>
      <c r="D1" s="36"/>
      <c r="E1" s="3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6"/>
      <c r="B2" s="36"/>
      <c r="C2" s="36"/>
      <c r="D2" s="36"/>
      <c r="E2" s="3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5" t="s">
        <v>1071</v>
      </c>
      <c r="B4" s="15" t="s">
        <v>1072</v>
      </c>
      <c r="C4" s="15" t="s">
        <v>1073</v>
      </c>
      <c r="D4" s="15" t="s">
        <v>1074</v>
      </c>
      <c r="E4" s="15" t="s">
        <v>1075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 t="s">
        <v>91</v>
      </c>
      <c r="B5" s="4">
        <f>COUNTIF('Master Screens'!E$2:E$296,"*Super Admin*")</f>
        <v>36</v>
      </c>
      <c r="C5" s="4" t="s">
        <v>93</v>
      </c>
      <c r="D5" s="4" t="s">
        <v>1076</v>
      </c>
      <c r="E5" s="4" t="s">
        <v>1077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 t="s">
        <v>1078</v>
      </c>
      <c r="B6" s="4">
        <f>COUNTIF('Master Screens'!E$2:E$296,"*Organization Admin*")</f>
        <v>12</v>
      </c>
      <c r="C6" s="4" t="s">
        <v>1079</v>
      </c>
      <c r="D6" s="4" t="s">
        <v>1080</v>
      </c>
      <c r="E6" s="4" t="s">
        <v>1077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188</v>
      </c>
      <c r="B7" s="4">
        <f>COUNTIF('Master Screens'!E$2:E$296,"*School Admin*")</f>
        <v>257</v>
      </c>
      <c r="C7" s="4" t="s">
        <v>1079</v>
      </c>
      <c r="D7" s="4" t="s">
        <v>1081</v>
      </c>
      <c r="E7" s="4" t="s">
        <v>1077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193</v>
      </c>
      <c r="B8" s="4">
        <f>COUNTIF('Master Screens'!E$2:E$296,"*Principal*")</f>
        <v>141</v>
      </c>
      <c r="C8" s="4" t="s">
        <v>1079</v>
      </c>
      <c r="D8" s="4" t="s">
        <v>1082</v>
      </c>
      <c r="E8" s="4" t="s">
        <v>1077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 t="s">
        <v>1083</v>
      </c>
      <c r="B9" s="4">
        <f>COUNTIF('Master Screens'!E$2:E$296,"*Academic Coordinator*")</f>
        <v>26</v>
      </c>
      <c r="C9" s="4" t="s">
        <v>1079</v>
      </c>
      <c r="D9" s="4" t="s">
        <v>1084</v>
      </c>
      <c r="E9" s="4" t="s">
        <v>1085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 t="s">
        <v>217</v>
      </c>
      <c r="B10" s="4">
        <f>COUNTIF('Master Screens'!E$2:E$296,"*Admission Officer*")</f>
        <v>20</v>
      </c>
      <c r="C10" s="4" t="s">
        <v>1079</v>
      </c>
      <c r="D10" s="4" t="s">
        <v>1086</v>
      </c>
      <c r="E10" s="4" t="s">
        <v>1087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 t="s">
        <v>1088</v>
      </c>
      <c r="B11" s="4">
        <f>COUNTIF('Master Screens'!E$2:E$296,"*Receptionist*")</f>
        <v>20</v>
      </c>
      <c r="C11" s="4" t="s">
        <v>1079</v>
      </c>
      <c r="D11" s="4" t="s">
        <v>1089</v>
      </c>
      <c r="E11" s="4" t="s">
        <v>1087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 t="s">
        <v>197</v>
      </c>
      <c r="B12" s="4">
        <f>COUNTIF('Master Screens'!E$2:E$296,"*Teacher*")</f>
        <v>118</v>
      </c>
      <c r="C12" s="4" t="s">
        <v>198</v>
      </c>
      <c r="D12" s="4" t="s">
        <v>1090</v>
      </c>
      <c r="E12" s="4" t="s">
        <v>1085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 t="s">
        <v>1091</v>
      </c>
      <c r="B13" s="4">
        <f>COUNTIF('Master Screens'!E$2:E$296,"*Class Teacher*")</f>
        <v>35</v>
      </c>
      <c r="C13" s="4" t="s">
        <v>198</v>
      </c>
      <c r="D13" s="4" t="s">
        <v>1092</v>
      </c>
      <c r="E13" s="4" t="s">
        <v>1085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 t="s">
        <v>201</v>
      </c>
      <c r="B14" s="4">
        <f>COUNTIF('Master Screens'!E$2:E$296,"*Student*")</f>
        <v>55</v>
      </c>
      <c r="C14" s="4" t="s">
        <v>202</v>
      </c>
      <c r="D14" s="4" t="s">
        <v>1093</v>
      </c>
      <c r="E14" s="4" t="s">
        <v>1094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 t="s">
        <v>205</v>
      </c>
      <c r="B15" s="4">
        <f>COUNTIF('Master Screens'!E$2:E$296,"*Parent*")</f>
        <v>66</v>
      </c>
      <c r="C15" s="4" t="s">
        <v>206</v>
      </c>
      <c r="D15" s="4" t="s">
        <v>1095</v>
      </c>
      <c r="E15" s="4" t="s">
        <v>1094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 t="s">
        <v>209</v>
      </c>
      <c r="B16" s="4">
        <f>COUNTIF('Master Screens'!E$2:E$296,"*Accountant*")</f>
        <v>31</v>
      </c>
      <c r="C16" s="4" t="s">
        <v>1079</v>
      </c>
      <c r="D16" s="4" t="s">
        <v>1096</v>
      </c>
      <c r="E16" s="4" t="s">
        <v>1087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 t="s">
        <v>213</v>
      </c>
      <c r="B17" s="4">
        <f>COUNTIF('Master Screens'!E$2:E$296,"*HR*")</f>
        <v>33</v>
      </c>
      <c r="C17" s="4" t="s">
        <v>1079</v>
      </c>
      <c r="D17" s="4" t="s">
        <v>1097</v>
      </c>
      <c r="E17" s="4" t="s">
        <v>1087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 t="s">
        <v>1098</v>
      </c>
      <c r="B18" s="4">
        <f>COUNTIF('Master Screens'!E$2:E$296,"*Employee*")</f>
        <v>15</v>
      </c>
      <c r="C18" s="4" t="s">
        <v>1079</v>
      </c>
      <c r="D18" s="4" t="s">
        <v>1099</v>
      </c>
      <c r="E18" s="4" t="s">
        <v>1087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 t="s">
        <v>1100</v>
      </c>
      <c r="B19" s="4">
        <f>COUNTIF('Master Screens'!E$2:E$296,"*Exam Coordinator*")</f>
        <v>14</v>
      </c>
      <c r="C19" s="4" t="s">
        <v>1079</v>
      </c>
      <c r="D19" s="4" t="s">
        <v>1101</v>
      </c>
      <c r="E19" s="4" t="s">
        <v>1087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 t="s">
        <v>221</v>
      </c>
      <c r="B20" s="4">
        <f>COUNTIF('Master Screens'!E$2:E$296,"*Transport Manager*")</f>
        <v>13</v>
      </c>
      <c r="C20" s="4" t="s">
        <v>715</v>
      </c>
      <c r="D20" s="4" t="s">
        <v>1102</v>
      </c>
      <c r="E20" s="4" t="s">
        <v>1087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 t="s">
        <v>1103</v>
      </c>
      <c r="B21" s="4">
        <f>COUNTIF('Master Screens'!E$2:E$296,"*Driver / Conductor*")</f>
        <v>2</v>
      </c>
      <c r="C21" s="4" t="s">
        <v>715</v>
      </c>
      <c r="D21" s="4" t="s">
        <v>1104</v>
      </c>
      <c r="E21" s="4" t="s">
        <v>1087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 t="s">
        <v>225</v>
      </c>
      <c r="B22" s="4">
        <f>COUNTIF('Master Screens'!E$2:E$296,"*Librarian*")</f>
        <v>11</v>
      </c>
      <c r="C22" s="4" t="s">
        <v>715</v>
      </c>
      <c r="D22" s="4" t="s">
        <v>1105</v>
      </c>
      <c r="E22" s="4" t="s">
        <v>1087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 t="s">
        <v>1106</v>
      </c>
      <c r="B23" s="4">
        <f>COUNTIF('Master Screens'!E$2:E$296,"*Hostel Warden*")</f>
        <v>8</v>
      </c>
      <c r="C23" s="4" t="s">
        <v>715</v>
      </c>
      <c r="D23" s="4" t="s">
        <v>1107</v>
      </c>
      <c r="E23" s="4" t="s">
        <v>1087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 t="s">
        <v>1108</v>
      </c>
      <c r="B24" s="4">
        <f>COUNTIF('Master Screens'!E$2:E$296,"*Nurse / Medical Officer*")</f>
        <v>10</v>
      </c>
      <c r="C24" s="4" t="s">
        <v>715</v>
      </c>
      <c r="D24" s="4" t="s">
        <v>1109</v>
      </c>
      <c r="E24" s="4" t="s">
        <v>1087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 t="s">
        <v>1110</v>
      </c>
      <c r="B25" s="4">
        <f>COUNTIF('Master Screens'!E$2:E$296,"*Counsellor*")</f>
        <v>10</v>
      </c>
      <c r="C25" s="4" t="s">
        <v>715</v>
      </c>
      <c r="D25" s="4" t="s">
        <v>1111</v>
      </c>
      <c r="E25" s="4" t="s">
        <v>1087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 t="s">
        <v>1112</v>
      </c>
      <c r="B26" s="4">
        <f>COUNTIF('Master Screens'!E$2:E$296,"*Security*")</f>
        <v>8</v>
      </c>
      <c r="C26" s="4" t="s">
        <v>715</v>
      </c>
      <c r="D26" s="4" t="s">
        <v>1113</v>
      </c>
      <c r="E26" s="4" t="s">
        <v>1087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 t="s">
        <v>1114</v>
      </c>
      <c r="B27" s="4">
        <f>COUNTIF('Master Screens'!E$2:E$296,"*Store Manager*")</f>
        <v>12</v>
      </c>
      <c r="C27" s="4" t="s">
        <v>715</v>
      </c>
      <c r="D27" s="4" t="s">
        <v>1115</v>
      </c>
      <c r="E27" s="4" t="s">
        <v>1087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 t="s">
        <v>1116</v>
      </c>
      <c r="B28" s="4">
        <f>COUNTIF('Master Screens'!E$2:E$296,"*Lab Assistant*")</f>
        <v>12</v>
      </c>
      <c r="C28" s="4" t="s">
        <v>715</v>
      </c>
      <c r="D28" s="4" t="s">
        <v>1117</v>
      </c>
      <c r="E28" s="4" t="s">
        <v>1087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7" t="s">
        <v>1118</v>
      </c>
      <c r="B29" s="7">
        <f>COUNTIF('Master Screens'!E$2:E$296,"*IT Admin*")</f>
        <v>12</v>
      </c>
      <c r="C29" s="7" t="s">
        <v>1079</v>
      </c>
      <c r="D29" s="7" t="s">
        <v>1119</v>
      </c>
      <c r="E29" s="7" t="s">
        <v>1087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7" t="s">
        <v>1120</v>
      </c>
      <c r="B31" s="38"/>
      <c r="C31" s="38"/>
      <c r="D31" s="38"/>
      <c r="E31" s="3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</sheetData>
  <mergeCells count="2">
    <mergeCell ref="A1:E2"/>
    <mergeCell ref="A31:E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0"/>
  <sheetViews>
    <sheetView workbookViewId="0"/>
  </sheetViews>
  <sheetFormatPr defaultRowHeight="14"/>
  <cols>
    <col min="1" max="1" width="22" customWidth="1"/>
    <col min="2" max="2" width="15" customWidth="1"/>
    <col min="3" max="3" width="46" customWidth="1"/>
    <col min="4" max="4" width="54" customWidth="1"/>
    <col min="5" max="5" width="38" customWidth="1"/>
    <col min="6" max="6" width="44" customWidth="1"/>
    <col min="7" max="7" width="38" customWidth="1"/>
    <col min="8" max="8" width="50" customWidth="1"/>
  </cols>
  <sheetData>
    <row r="1" spans="1:26">
      <c r="A1" s="36" t="s">
        <v>1121</v>
      </c>
      <c r="B1" s="36"/>
      <c r="C1" s="36"/>
      <c r="D1" s="36"/>
      <c r="E1" s="36"/>
      <c r="F1" s="36"/>
      <c r="G1" s="36"/>
      <c r="H1" s="3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6"/>
      <c r="B2" s="36"/>
      <c r="C2" s="36"/>
      <c r="D2" s="36"/>
      <c r="E2" s="36"/>
      <c r="F2" s="36"/>
      <c r="G2" s="36"/>
      <c r="H2" s="3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5" t="s">
        <v>1122</v>
      </c>
      <c r="B4" s="15" t="s">
        <v>6</v>
      </c>
      <c r="C4" s="15" t="s">
        <v>1123</v>
      </c>
      <c r="D4" s="15" t="s">
        <v>1124</v>
      </c>
      <c r="E4" s="15" t="s">
        <v>1125</v>
      </c>
      <c r="F4" s="15" t="s">
        <v>1126</v>
      </c>
      <c r="G4" s="15" t="s">
        <v>1127</v>
      </c>
      <c r="H4" s="15" t="s">
        <v>1128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7.5">
      <c r="A5" s="12" t="s">
        <v>9</v>
      </c>
      <c r="B5" s="10">
        <f>COUNTIF('Master Screens'!K$2:K$296,"MVP")</f>
        <v>100</v>
      </c>
      <c r="C5" s="10" t="s">
        <v>1129</v>
      </c>
      <c r="D5" s="10" t="s">
        <v>1130</v>
      </c>
      <c r="E5" s="10" t="s">
        <v>1131</v>
      </c>
      <c r="F5" s="10" t="s">
        <v>1132</v>
      </c>
      <c r="G5" s="10" t="s">
        <v>1133</v>
      </c>
      <c r="H5" s="10" t="s">
        <v>1134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">
      <c r="A6" s="13" t="s">
        <v>12</v>
      </c>
      <c r="B6" s="10">
        <f>COUNTIF('Master Screens'!K$2:K$296,"Phase 2")</f>
        <v>92</v>
      </c>
      <c r="C6" s="10" t="s">
        <v>1135</v>
      </c>
      <c r="D6" s="10" t="s">
        <v>1136</v>
      </c>
      <c r="E6" s="10" t="s">
        <v>1137</v>
      </c>
      <c r="F6" s="10" t="s">
        <v>1138</v>
      </c>
      <c r="G6" s="10" t="s">
        <v>1139</v>
      </c>
      <c r="H6" s="10" t="s">
        <v>1140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">
      <c r="A7" s="14" t="s">
        <v>15</v>
      </c>
      <c r="B7" s="11">
        <f>COUNTIF('Master Screens'!K$2:K$296,"Phase 3")</f>
        <v>103</v>
      </c>
      <c r="C7" s="11" t="s">
        <v>1141</v>
      </c>
      <c r="D7" s="11" t="s">
        <v>1142</v>
      </c>
      <c r="E7" s="11" t="s">
        <v>1143</v>
      </c>
      <c r="F7" s="11" t="s">
        <v>1144</v>
      </c>
      <c r="G7" s="11" t="s">
        <v>1145</v>
      </c>
      <c r="H7" s="11" t="s">
        <v>1146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5" t="s">
        <v>54</v>
      </c>
      <c r="B10" s="15" t="s">
        <v>1147</v>
      </c>
      <c r="C10" s="15" t="s">
        <v>1148</v>
      </c>
      <c r="D10" s="15" t="s">
        <v>1149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">
      <c r="A11" s="4" t="s">
        <v>98</v>
      </c>
      <c r="B11" s="4" t="s">
        <v>1150</v>
      </c>
      <c r="C11" s="4" t="s">
        <v>1151</v>
      </c>
      <c r="D11" s="4" t="s">
        <v>1152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4" t="s">
        <v>104</v>
      </c>
      <c r="B12" s="4" t="s">
        <v>1153</v>
      </c>
      <c r="C12" s="4" t="s">
        <v>1154</v>
      </c>
      <c r="D12" s="4" t="s">
        <v>1155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">
      <c r="A13" s="4" t="s">
        <v>116</v>
      </c>
      <c r="B13" s="4" t="s">
        <v>1156</v>
      </c>
      <c r="C13" s="4" t="s">
        <v>1157</v>
      </c>
      <c r="D13" s="4" t="s">
        <v>1158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">
      <c r="A14" s="4" t="s">
        <v>110</v>
      </c>
      <c r="B14" s="4" t="s">
        <v>1159</v>
      </c>
      <c r="C14" s="4" t="s">
        <v>1160</v>
      </c>
      <c r="D14" s="4" t="s">
        <v>1161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">
      <c r="A15" s="4" t="s">
        <v>244</v>
      </c>
      <c r="B15" s="4" t="s">
        <v>1162</v>
      </c>
      <c r="C15" s="4" t="s">
        <v>1163</v>
      </c>
      <c r="D15" s="4" t="s">
        <v>1164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">
      <c r="A16" s="4" t="s">
        <v>65</v>
      </c>
      <c r="B16" s="4" t="s">
        <v>1165</v>
      </c>
      <c r="C16" s="4" t="s">
        <v>1166</v>
      </c>
      <c r="D16" s="4" t="s">
        <v>1167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>
      <c r="A17" s="4" t="s">
        <v>127</v>
      </c>
      <c r="B17" s="4" t="s">
        <v>1168</v>
      </c>
      <c r="C17" s="4" t="s">
        <v>1169</v>
      </c>
      <c r="D17" s="4" t="s">
        <v>1170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>
      <c r="A18" s="7" t="s">
        <v>145</v>
      </c>
      <c r="B18" s="7" t="s">
        <v>1171</v>
      </c>
      <c r="C18" s="7" t="s">
        <v>1172</v>
      </c>
      <c r="D18" s="7" t="s">
        <v>1173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ERP Blueprint</vt:lpstr>
      <vt:lpstr>Master Screens</vt:lpstr>
      <vt:lpstr>Role Coverage</vt:lpstr>
      <vt:lpstr>Delivery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2026-09-19T07:13:00Z</dcterms:modified>
</cp:coreProperties>
</file>